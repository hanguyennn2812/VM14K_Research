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ongDan" sheetId="1" state="visible" r:id="rId1"/>
    <sheet name="Review" sheetId="2" state="visible" r:id="rId2"/>
    <sheet name="DanhMuc" sheetId="3" state="visible" r:id="rId3"/>
  </sheets>
  <definedNames>
    <definedName name="_xlnm._FilterDatabase" localSheetId="1" hidden="1">'Review'!$A$1:$I$128</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sz val="11"/>
    </font>
    <font>
      <name val="Arial"/>
      <i val="1"/>
      <color rgb="00808080"/>
      <sz val="9"/>
    </font>
    <font>
      <name val="Arial"/>
      <b val="1"/>
      <color rgb="00FFFFFF"/>
      <sz val="10"/>
    </font>
    <font>
      <name val="Arial"/>
      <sz val="10"/>
    </font>
    <font>
      <name val="Arial"/>
      <b val="1"/>
      <color rgb="00000000"/>
      <sz val="14"/>
    </font>
    <font>
      <name val="Arial"/>
      <color rgb="00000000"/>
      <sz val="10"/>
    </font>
    <font>
      <name val="Arial"/>
      <b val="1"/>
      <color rgb="00000000"/>
      <sz val="11"/>
    </font>
    <font>
      <name val="Arial"/>
      <b val="1"/>
      <color rgb="00000000"/>
      <sz val="10"/>
    </font>
    <font>
      <name val="Arial"/>
      <i val="1"/>
      <color rgb="00808080"/>
      <sz val="10"/>
    </font>
    <font>
      <name val="Arial"/>
      <b val="1"/>
      <sz val="10"/>
    </font>
  </fonts>
  <fills count="8">
    <fill>
      <patternFill/>
    </fill>
    <fill>
      <patternFill patternType="gray125"/>
    </fill>
    <fill>
      <patternFill patternType="solid">
        <fgColor rgb="001F4E79"/>
      </patternFill>
    </fill>
    <fill>
      <patternFill patternType="solid">
        <fgColor rgb="00FFF2CC"/>
      </patternFill>
    </fill>
    <fill>
      <patternFill patternType="solid">
        <fgColor rgb="00FFFFCC"/>
      </patternFill>
    </fill>
    <fill>
      <patternFill patternType="solid">
        <fgColor rgb="00F2F2F2"/>
      </patternFill>
    </fill>
    <fill>
      <patternFill patternType="solid">
        <fgColor rgb="00DDEBF7"/>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3" fillId="2" borderId="1" applyAlignment="1" pivotButton="0" quotePrefix="0" xfId="0">
      <alignment horizontal="center" vertical="center" wrapText="1"/>
    </xf>
    <xf numFmtId="0" fontId="4" fillId="5" borderId="1" applyAlignment="1" pivotButton="0" quotePrefix="0" xfId="0">
      <alignment vertical="top" wrapText="1"/>
    </xf>
    <xf numFmtId="0" fontId="4" fillId="4" borderId="1" applyAlignment="1" pivotButton="0" quotePrefix="0" xfId="0">
      <alignment vertical="top" wrapText="1"/>
    </xf>
    <xf numFmtId="0" fontId="10" fillId="7" borderId="1" applyAlignment="1" pivotButton="0" quotePrefix="0" xfId="0">
      <alignment vertical="center"/>
    </xf>
    <xf numFmtId="0" fontId="4" fillId="0" borderId="0" applyAlignment="1" pivotButton="0" quotePrefix="0" xfId="0">
      <alignment vertical="center" wrapText="1"/>
    </xf>
    <xf numFmtId="0" fontId="10" fillId="6" borderId="1" applyAlignment="1" pivotButton="0" quotePrefix="0" xfId="0">
      <alignment vertical="center"/>
    </xf>
    <xf numFmtId="0" fontId="10" fillId="3" borderId="1" applyAlignment="1" pivotButton="0" quotePrefix="0" xfId="0">
      <alignment vertical="center"/>
    </xf>
    <xf numFmtId="0" fontId="10" fillId="5" borderId="1" applyAlignment="1" pivotButton="0" quotePrefix="0" xfId="0">
      <alignment vertical="center"/>
    </xf>
    <xf numFmtId="0" fontId="4" fillId="0" borderId="0" applyAlignment="1" pivotButton="0" quotePrefix="0" xfId="0">
      <alignment vertical="center"/>
    </xf>
    <xf numFmtId="0" fontId="10" fillId="7" borderId="1" applyAlignment="1" pivotButton="0" quotePrefix="0" xfId="0">
      <alignment horizontal="center" vertical="center"/>
    </xf>
    <xf numFmtId="0" fontId="2" fillId="0" borderId="0" applyAlignment="1" pivotButton="0" quotePrefix="0" xfId="0">
      <alignment vertical="top" wrapText="1"/>
    </xf>
    <xf numFmtId="0" fontId="4" fillId="3" borderId="1" applyAlignment="1" pivotButton="0" quotePrefix="0" xfId="0">
      <alignment horizontal="center" vertical="top"/>
    </xf>
    <xf numFmtId="0" fontId="4" fillId="3" borderId="1" applyAlignment="1" pivotButton="0" quotePrefix="0" xfId="0">
      <alignment horizontal="left" vertical="top" wrapText="1"/>
    </xf>
    <xf numFmtId="3" fontId="4" fillId="3" borderId="1" applyAlignment="1" pivotButton="0" quotePrefix="0" xfId="0">
      <alignment horizontal="center" vertical="top"/>
    </xf>
    <xf numFmtId="0" fontId="4" fillId="4" borderId="1" applyAlignment="1" pivotButton="0" quotePrefix="0" xfId="0">
      <alignment horizontal="left" vertical="top"/>
    </xf>
    <xf numFmtId="0" fontId="4" fillId="4" borderId="1" applyAlignment="1" pivotButton="0" quotePrefix="0" xfId="0">
      <alignment horizontal="left" vertical="top" wrapText="1"/>
    </xf>
    <xf numFmtId="0" fontId="4" fillId="5" borderId="1" applyAlignment="1" pivotButton="0" quotePrefix="0" xfId="0">
      <alignment horizontal="center" vertical="top"/>
    </xf>
    <xf numFmtId="0" fontId="4" fillId="5" borderId="1" applyAlignment="1" pivotButton="0" quotePrefix="0" xfId="0">
      <alignment horizontal="left" vertical="top" wrapText="1"/>
    </xf>
    <xf numFmtId="3" fontId="4" fillId="5" borderId="1" applyAlignment="1" pivotButton="0" quotePrefix="0" xfId="0">
      <alignment horizontal="center" vertical="top"/>
    </xf>
    <xf numFmtId="0" fontId="4" fillId="6" borderId="1" applyAlignment="1" pivotButton="0" quotePrefix="0" xfId="0">
      <alignment horizontal="center" vertical="top"/>
    </xf>
    <xf numFmtId="0" fontId="4" fillId="6" borderId="1" applyAlignment="1" pivotButton="0" quotePrefix="0" xfId="0">
      <alignment horizontal="left" vertical="top" wrapText="1"/>
    </xf>
    <xf numFmtId="3" fontId="4" fillId="6" borderId="1" applyAlignment="1" pivotButton="0" quotePrefix="0" xfId="0">
      <alignment horizontal="center" vertical="top"/>
    </xf>
    <xf numFmtId="0" fontId="4" fillId="7" borderId="1" applyAlignment="1" pivotButton="0" quotePrefix="0" xfId="0">
      <alignment horizontal="center" vertical="top"/>
    </xf>
    <xf numFmtId="0" fontId="4" fillId="7" borderId="1" applyAlignment="1" pivotButton="0" quotePrefix="0" xfId="0">
      <alignment horizontal="left" vertical="top" wrapText="1"/>
    </xf>
    <xf numFmtId="3" fontId="4" fillId="7" borderId="1" applyAlignment="1" pivotButton="0" quotePrefix="0" xfId="0">
      <alignment horizontal="center" vertical="top"/>
    </xf>
    <xf numFmtId="0" fontId="1" fillId="0" borderId="0" pivotButton="0" quotePrefix="0" xfId="0"/>
    <xf numFmtId="0" fontId="2" fillId="0" borderId="0" pivotButton="0" quotePrefix="0" xfId="0"/>
    <xf numFmtId="0" fontId="4" fillId="0" borderId="1" pivotButton="0" quotePrefix="0" xfId="0"/>
    <xf numFmtId="0" fontId="4" fillId="3" borderId="1" pivotButton="0" quotePrefix="0" xfId="0"/>
  </cellXfs>
  <cellStyles count="1">
    <cellStyle name="Normal" xfId="0" builtinId="0" hidden="0"/>
  </cellStyles>
  <dxfs count="1">
    <dxf>
      <fill>
        <patternFill patternType="solid">
          <fgColor rgb="00FCE4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F35"/>
  <sheetViews>
    <sheetView showGridLines="0" workbookViewId="0">
      <selection activeCell="A1" sqref="A1"/>
    </sheetView>
  </sheetViews>
  <sheetFormatPr baseColWidth="8" defaultRowHeight="15"/>
  <cols>
    <col width="3" customWidth="1" min="1" max="1"/>
    <col width="30" customWidth="1" min="2" max="2"/>
    <col width="20" customWidth="1" min="3" max="3"/>
    <col width="20" customWidth="1" min="4" max="4"/>
    <col width="20" customWidth="1" min="5" max="5"/>
  </cols>
  <sheetData>
    <row r="2">
      <c r="B2" s="1" t="inlineStr">
        <is>
          <t>Chuẩn hóa danh mục chuyên khoa VM14K — phiếu duyệt</t>
        </is>
      </c>
    </row>
    <row r="4">
      <c r="B4" s="2" t="inlineStr">
        <is>
          <t>Dữ liệu VM14K hiện có 127 chuỗi topic khác nhau, trong khi paper công bố là 34 chuyên khoa. Nhóm phân tích đã đề xuất sẵn cách xử lý cho từng chuỗi. Việc của bác sĩ: xác nhận hoặc sửa lại đề xuất đó.</t>
        </is>
      </c>
    </row>
    <row r="6">
      <c r="B6" s="3" t="inlineStr">
        <is>
          <t>CÁCH LÀM — chỉ điền 3 cột màu vàng ở sheet 'Review'</t>
        </is>
      </c>
    </row>
    <row r="7">
      <c r="B7" s="4" t="inlineStr">
        <is>
          <t>Cột G — QUYẾT ĐỊNH</t>
        </is>
      </c>
      <c r="C7" s="2" t="inlineStr">
        <is>
          <t>Chọn từ dropdown: Đồng ý / Sửa / Loại bỏ / Cần thảo luận</t>
        </is>
      </c>
    </row>
    <row r="8">
      <c r="B8" s="4" t="inlineStr">
        <is>
          <t>Cột H — Chuyên khoa đúng</t>
        </is>
      </c>
      <c r="C8" s="2" t="inlineStr">
        <is>
          <t>CHỈ điền khi cột G = 'Sửa'. Chọn từ dropdown (34 chuyên khoa).</t>
        </is>
      </c>
    </row>
    <row r="9">
      <c r="B9" s="4" t="inlineStr">
        <is>
          <t>Cột I — Ghi chú</t>
        </is>
      </c>
      <c r="C9" s="2" t="inlineStr">
        <is>
          <t>Tùy chọn. Ghi lý do nếu quyết định khác đề xuất.</t>
        </is>
      </c>
    </row>
    <row r="11">
      <c r="B11" s="5" t="inlineStr">
        <is>
          <t>Không cần sửa các cột A–F (nền màu) — đó là dữ liệu và đề xuất của nhóm phân tích.</t>
        </is>
      </c>
    </row>
    <row r="13">
      <c r="B13" s="3" t="inlineStr">
        <is>
          <t>VÍ DỤ (dòng mẫu, không có trong sheet Review)</t>
        </is>
      </c>
    </row>
    <row r="14">
      <c r="A14" s="6" t="n"/>
      <c r="B14" s="6" t="inlineStr">
        <is>
          <t>Chuỗi gốc</t>
        </is>
      </c>
      <c r="C14" s="6" t="inlineStr">
        <is>
          <t>Đề xuất</t>
        </is>
      </c>
      <c r="D14" s="6" t="inlineStr">
        <is>
          <t>► Cột G</t>
        </is>
      </c>
      <c r="E14" s="6" t="inlineStr">
        <is>
          <t>► Cột H</t>
        </is>
      </c>
      <c r="F14" s="6" t="inlineStr">
        <is>
          <t>► Cột I</t>
        </is>
      </c>
    </row>
    <row r="15" ht="30" customHeight="1">
      <c r="B15" s="7" t="inlineStr">
        <is>
          <t>Hepatology</t>
        </is>
      </c>
      <c r="C15" s="7" t="inlineStr">
        <is>
          <t>Gastroenterology</t>
        </is>
      </c>
      <c r="D15" s="8" t="inlineStr">
        <is>
          <t>Sửa - xem cột H</t>
        </is>
      </c>
      <c r="E15" s="8" t="inlineStr">
        <is>
          <t>Internal Medicine</t>
        </is>
      </c>
      <c r="F15" s="8" t="inlineStr">
        <is>
          <t>Gan mật nên xếp Nội khoa</t>
        </is>
      </c>
    </row>
    <row r="17">
      <c r="B17" s="3" t="inlineStr">
        <is>
          <t>Ý NGHĨA CÁC NHÓM PHÂN LOẠI</t>
        </is>
      </c>
    </row>
    <row r="18">
      <c r="B18" s="9" t="inlineStr">
        <is>
          <t>DA CHUAN</t>
        </is>
      </c>
      <c r="C18" s="10" t="inlineStr">
        <is>
          <t>Đã đúng 1 trong 34 chuyên khoa. Không cần làm gì.</t>
        </is>
      </c>
    </row>
    <row r="19">
      <c r="B19" s="11" t="inlineStr">
        <is>
          <t>BIEN THE GAN</t>
        </is>
      </c>
      <c r="C19" s="10" t="inlineStr">
        <is>
          <t>Chỉ khác cách viết / là chuyên khoa con rõ ràng. Rủi ro thấp.</t>
        </is>
      </c>
    </row>
    <row r="20">
      <c r="B20" s="12" t="inlineStr">
        <is>
          <t>CAN QUYET DINH</t>
        </is>
      </c>
      <c r="C20" s="10" t="inlineStr">
        <is>
          <t>Là lĩnh vực y học thật nhưng KHÔNG nằm trong 34. Cần bác sĩ quyết.</t>
        </is>
      </c>
    </row>
    <row r="21">
      <c r="B21" s="13" t="inlineStr">
        <is>
          <t>KHONG PHAI CHUYEN KHOA</t>
        </is>
      </c>
      <c r="C21" s="10" t="inlineStr">
        <is>
          <t>Từ chỉ quy trình / cơ quan / quản lý. Đề nghị bỏ.</t>
        </is>
      </c>
    </row>
    <row r="24">
      <c r="B24" s="3" t="inlineStr">
        <is>
          <t>TIẾN ĐỘ (tự cập nhật khi điền)</t>
        </is>
      </c>
    </row>
    <row r="26">
      <c r="B26" s="14" t="inlineStr">
        <is>
          <t>Tổng số chuỗi cần xem</t>
        </is>
      </c>
      <c r="C26" s="15">
        <f>COUNTA(Review!$B$2:$B$128)</f>
        <v/>
      </c>
    </row>
    <row r="27">
      <c r="B27" s="14" t="inlineStr">
        <is>
          <t>Đã có quyết định</t>
        </is>
      </c>
      <c r="C27" s="15">
        <f>COUNTIF(Review!$G$2:$G$128,"&lt;&gt;")</f>
        <v/>
      </c>
    </row>
    <row r="28">
      <c r="B28" s="14" t="inlineStr">
        <is>
          <t>Còn trống</t>
        </is>
      </c>
      <c r="C28" s="15">
        <f>C26-C27</f>
        <v/>
      </c>
    </row>
    <row r="29">
      <c r="B29" s="14" t="inlineStr">
        <is>
          <t>Đồng ý</t>
        </is>
      </c>
      <c r="C29" s="15">
        <f>COUNTIF(Review!$G$2:$G$128,"Đồng ý")</f>
        <v/>
      </c>
    </row>
    <row r="30">
      <c r="B30" s="14" t="inlineStr">
        <is>
          <t>Sửa</t>
        </is>
      </c>
      <c r="C30" s="15">
        <f>COUNTIF(Review!$G$2:$G$128,"Sửa - xem cột H")</f>
        <v/>
      </c>
    </row>
    <row r="31">
      <c r="B31" s="14" t="inlineStr">
        <is>
          <t>Loại bỏ</t>
        </is>
      </c>
      <c r="C31" s="15">
        <f>COUNTIF(Review!$G$2:$G$128,"Loại bỏ (không dùng topic này)")</f>
        <v/>
      </c>
    </row>
    <row r="32">
      <c r="B32" s="14" t="inlineStr">
        <is>
          <t>Cần thảo luận</t>
        </is>
      </c>
      <c r="C32" s="15">
        <f>COUNTIF(Review!$G$2:$G$128,"Cần thảo luận")</f>
        <v/>
      </c>
    </row>
    <row r="35">
      <c r="B35" s="16" t="inlineStr">
        <is>
          <t>Nguồn: reports/analysis/topic_mapping_proposed.csv — sinh bởi scripts/analysis/propose_topic_mapping.py. Danh mục 34 chuyên khoa lấy nguyên văn từ paper VM14K (arXiv 2506.01305) Table 5 / Appendix A. Dữ liệu gốc KHÔNG bị thay đổi bởi bước này.</t>
        </is>
      </c>
    </row>
  </sheetData>
  <mergeCells count="4">
    <mergeCell ref="C19:F19"/>
    <mergeCell ref="C18:F18"/>
    <mergeCell ref="C21:F21"/>
    <mergeCell ref="C20:F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8"/>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10" customWidth="1" min="3" max="3"/>
    <col width="20" customWidth="1" min="4" max="4"/>
    <col width="26" customWidth="1" min="5" max="5"/>
    <col width="52" customWidth="1" min="6" max="6"/>
    <col width="22" customWidth="1" min="7" max="7"/>
    <col width="30" customWidth="1" min="8" max="8"/>
    <col width="34" customWidth="1" min="9" max="9"/>
  </cols>
  <sheetData>
    <row r="1" ht="42" customHeight="1">
      <c r="A1" s="6" t="inlineStr">
        <is>
          <t>STT</t>
        </is>
      </c>
      <c r="B1" s="6" t="inlineStr">
        <is>
          <t>Chuỗi topic gốc
(trong dữ liệu)</t>
        </is>
      </c>
      <c r="C1" s="6" t="inlineStr">
        <is>
          <t>Số dòng
ảnh hưởng</t>
        </is>
      </c>
      <c r="D1" s="6" t="inlineStr">
        <is>
          <t>Phân loại
đề xuất</t>
        </is>
      </c>
      <c r="E1" s="6" t="inlineStr">
        <is>
          <t>Chuyên khoa
đề xuất</t>
        </is>
      </c>
      <c r="F1" s="6" t="inlineStr">
        <is>
          <t>Lý do (nhóm phân tích)</t>
        </is>
      </c>
      <c r="G1" s="6" t="inlineStr">
        <is>
          <t>► QUYẾT ĐỊNH
(chọn)</t>
        </is>
      </c>
      <c r="H1" s="6" t="inlineStr">
        <is>
          <t>► Chuyên khoa đúng
(nếu sửa)</t>
        </is>
      </c>
      <c r="I1" s="6" t="inlineStr">
        <is>
          <t>► Ghi chú của bác sĩ</t>
        </is>
      </c>
    </row>
    <row r="2">
      <c r="A2" s="17" t="n">
        <v>1</v>
      </c>
      <c r="B2" s="18" t="inlineStr">
        <is>
          <t>Pharmacology</t>
        </is>
      </c>
      <c r="C2" s="19" t="n">
        <v>528</v>
      </c>
      <c r="D2" s="17" t="inlineStr">
        <is>
          <t>CAN QUYET DINH</t>
        </is>
      </c>
      <c r="E2" s="18" t="inlineStr"/>
      <c r="F2" s="18" t="inlineStr">
        <is>
          <t>preclinical science; no canonical target — taxonomy gap</t>
        </is>
      </c>
      <c r="G2" s="20" t="n"/>
      <c r="H2" s="20" t="n"/>
      <c r="I2" s="21" t="n"/>
    </row>
    <row r="3">
      <c r="A3" s="17" t="n">
        <v>2</v>
      </c>
      <c r="B3" s="18" t="inlineStr">
        <is>
          <t>Toxicology</t>
        </is>
      </c>
      <c r="C3" s="19" t="n">
        <v>357</v>
      </c>
      <c r="D3" s="17" t="inlineStr">
        <is>
          <t>CAN QUYET DINH</t>
        </is>
      </c>
      <c r="E3" s="18" t="inlineStr"/>
      <c r="F3" s="18" t="inlineStr">
        <is>
          <t>preclinical science; no canonical target — taxonomy gap</t>
        </is>
      </c>
      <c r="G3" s="20" t="n"/>
      <c r="H3" s="20" t="n"/>
      <c r="I3" s="21" t="n"/>
    </row>
    <row r="4">
      <c r="A4" s="17" t="n">
        <v>3</v>
      </c>
      <c r="B4" s="18" t="inlineStr">
        <is>
          <t>Genetics</t>
        </is>
      </c>
      <c r="C4" s="19" t="n">
        <v>160</v>
      </c>
      <c r="D4" s="17" t="inlineStr">
        <is>
          <t>CAN QUYET DINH</t>
        </is>
      </c>
      <c r="E4" s="18" t="inlineStr"/>
      <c r="F4" s="18" t="inlineStr">
        <is>
          <t>preclinical science; no canonical target — taxonomy gap</t>
        </is>
      </c>
      <c r="G4" s="20" t="n"/>
      <c r="H4" s="20" t="n"/>
      <c r="I4" s="21" t="n"/>
    </row>
    <row r="5">
      <c r="A5" s="17" t="n">
        <v>4</v>
      </c>
      <c r="B5" s="18" t="inlineStr">
        <is>
          <t>Anatomy</t>
        </is>
      </c>
      <c r="C5" s="19" t="n">
        <v>120</v>
      </c>
      <c r="D5" s="17" t="inlineStr">
        <is>
          <t>CAN QUYET DINH</t>
        </is>
      </c>
      <c r="E5" s="18" t="inlineStr"/>
      <c r="F5" s="18" t="inlineStr">
        <is>
          <t>preclinical science; no canonical target — taxonomy gap</t>
        </is>
      </c>
      <c r="G5" s="20" t="n"/>
      <c r="H5" s="20" t="n"/>
      <c r="I5" s="21" t="n"/>
    </row>
    <row r="6">
      <c r="A6" s="17" t="n">
        <v>5</v>
      </c>
      <c r="B6" s="18" t="inlineStr">
        <is>
          <t>Physiology</t>
        </is>
      </c>
      <c r="C6" s="19" t="n">
        <v>109</v>
      </c>
      <c r="D6" s="17" t="inlineStr">
        <is>
          <t>CAN QUYET DINH</t>
        </is>
      </c>
      <c r="E6" s="18" t="inlineStr"/>
      <c r="F6" s="18" t="inlineStr">
        <is>
          <t>preclinical science; no canonical target — taxonomy gap</t>
        </is>
      </c>
      <c r="G6" s="20" t="n"/>
      <c r="H6" s="20" t="n"/>
      <c r="I6" s="21" t="n"/>
    </row>
    <row r="7">
      <c r="A7" s="17" t="n">
        <v>6</v>
      </c>
      <c r="B7" s="18" t="inlineStr">
        <is>
          <t>Biochemistry</t>
        </is>
      </c>
      <c r="C7" s="19" t="n">
        <v>104</v>
      </c>
      <c r="D7" s="17" t="inlineStr">
        <is>
          <t>CAN QUYET DINH</t>
        </is>
      </c>
      <c r="E7" s="18" t="inlineStr"/>
      <c r="F7" s="18" t="inlineStr">
        <is>
          <t>preclinical science; no canonical target — taxonomy gap</t>
        </is>
      </c>
      <c r="G7" s="20" t="n"/>
      <c r="H7" s="20" t="n"/>
      <c r="I7" s="21" t="n"/>
    </row>
    <row r="8">
      <c r="A8" s="17" t="n">
        <v>7</v>
      </c>
      <c r="B8" s="18" t="inlineStr">
        <is>
          <t>Dentistry</t>
        </is>
      </c>
      <c r="C8" s="19" t="n">
        <v>99</v>
      </c>
      <c r="D8" s="17" t="inlineStr">
        <is>
          <t>CAN QUYET DINH</t>
        </is>
      </c>
      <c r="E8" s="18" t="inlineStr"/>
      <c r="F8" s="18" t="inlineStr">
        <is>
          <t>dentistry has NO canonical target in the 34 — taxonomy gap</t>
        </is>
      </c>
      <c r="G8" s="20" t="n"/>
      <c r="H8" s="20" t="n"/>
      <c r="I8" s="21" t="n"/>
    </row>
    <row r="9">
      <c r="A9" s="17" t="n">
        <v>8</v>
      </c>
      <c r="B9" s="18" t="inlineStr">
        <is>
          <t>Cell Biology</t>
        </is>
      </c>
      <c r="C9" s="19" t="n">
        <v>92</v>
      </c>
      <c r="D9" s="17" t="inlineStr">
        <is>
          <t>CAN QUYET DINH</t>
        </is>
      </c>
      <c r="E9" s="18" t="inlineStr"/>
      <c r="F9" s="18" t="inlineStr">
        <is>
          <t>merge with Cellular Biology; no canonical target</t>
        </is>
      </c>
      <c r="G9" s="20" t="n"/>
      <c r="H9" s="20" t="n"/>
      <c r="I9" s="21" t="n"/>
    </row>
    <row r="10">
      <c r="A10" s="17" t="n">
        <v>9</v>
      </c>
      <c r="B10" s="18" t="inlineStr">
        <is>
          <t>Parasitology</t>
        </is>
      </c>
      <c r="C10" s="19" t="n">
        <v>90</v>
      </c>
      <c r="D10" s="17" t="inlineStr">
        <is>
          <t>CAN QUYET DINH</t>
        </is>
      </c>
      <c r="E10" s="18" t="inlineStr"/>
      <c r="F10" s="18" t="inlineStr">
        <is>
          <t>preclinical science; overlaps Infectious Diseases</t>
        </is>
      </c>
      <c r="G10" s="20" t="n"/>
      <c r="H10" s="20" t="n"/>
      <c r="I10" s="21" t="n"/>
    </row>
    <row r="11">
      <c r="A11" s="17" t="n">
        <v>10</v>
      </c>
      <c r="B11" s="18" t="inlineStr">
        <is>
          <t>Periodontology</t>
        </is>
      </c>
      <c r="C11" s="19" t="n">
        <v>89</v>
      </c>
      <c r="D11" s="17" t="inlineStr">
        <is>
          <t>CAN QUYET DINH</t>
        </is>
      </c>
      <c r="E11" s="18" t="inlineStr"/>
      <c r="F11" s="18" t="inlineStr">
        <is>
          <t>merge with Periodontics; no canonical target</t>
        </is>
      </c>
      <c r="G11" s="20" t="n"/>
      <c r="H11" s="20" t="n"/>
      <c r="I11" s="21" t="n"/>
    </row>
    <row r="12">
      <c r="A12" s="17" t="n">
        <v>11</v>
      </c>
      <c r="B12" s="18" t="inlineStr">
        <is>
          <t>Molecular Biology</t>
        </is>
      </c>
      <c r="C12" s="19" t="n">
        <v>70</v>
      </c>
      <c r="D12" s="17" t="inlineStr">
        <is>
          <t>CAN QUYET DINH</t>
        </is>
      </c>
      <c r="E12" s="18" t="inlineStr"/>
      <c r="F12" s="18" t="inlineStr">
        <is>
          <t>preclinical science; no canonical target</t>
        </is>
      </c>
      <c r="G12" s="20" t="n"/>
      <c r="H12" s="20" t="n"/>
      <c r="I12" s="21" t="n"/>
    </row>
    <row r="13">
      <c r="A13" s="17" t="n">
        <v>12</v>
      </c>
      <c r="B13" s="18" t="inlineStr">
        <is>
          <t>Veterinary Medicine</t>
        </is>
      </c>
      <c r="C13" s="19" t="n">
        <v>66</v>
      </c>
      <c r="D13" s="17" t="inlineStr">
        <is>
          <t>CAN QUYET DINH</t>
        </is>
      </c>
      <c r="E13" s="18" t="inlineStr"/>
      <c r="F13" s="18" t="inlineStr">
        <is>
          <t>NOT human medicine — 66 rows; likely mis-scoped content</t>
        </is>
      </c>
      <c r="G13" s="20" t="n"/>
      <c r="H13" s="20" t="n"/>
      <c r="I13" s="21" t="n"/>
    </row>
    <row r="14">
      <c r="A14" s="17" t="n">
        <v>13</v>
      </c>
      <c r="B14" s="18" t="inlineStr">
        <is>
          <t>Chemistry</t>
        </is>
      </c>
      <c r="C14" s="19" t="n">
        <v>60</v>
      </c>
      <c r="D14" s="17" t="inlineStr">
        <is>
          <t>CAN QUYET DINH</t>
        </is>
      </c>
      <c r="E14" s="18" t="inlineStr"/>
      <c r="F14" s="18" t="inlineStr">
        <is>
          <t>not a medical subject at all — candidate for JUNK instead</t>
        </is>
      </c>
      <c r="G14" s="20" t="n"/>
      <c r="H14" s="20" t="n"/>
      <c r="I14" s="21" t="n"/>
    </row>
    <row r="15">
      <c r="A15" s="17" t="n">
        <v>14</v>
      </c>
      <c r="B15" s="18" t="inlineStr">
        <is>
          <t>Embryology</t>
        </is>
      </c>
      <c r="C15" s="19" t="n">
        <v>60</v>
      </c>
      <c r="D15" s="17" t="inlineStr">
        <is>
          <t>CAN QUYET DINH</t>
        </is>
      </c>
      <c r="E15" s="18" t="inlineStr"/>
      <c r="F15" s="18" t="inlineStr">
        <is>
          <t>preclinical science; no canonical target — taxonomy gap</t>
        </is>
      </c>
      <c r="G15" s="20" t="n"/>
      <c r="H15" s="20" t="n"/>
      <c r="I15" s="21" t="n"/>
    </row>
    <row r="16">
      <c r="A16" s="17" t="n">
        <v>15</v>
      </c>
      <c r="B16" s="18" t="inlineStr">
        <is>
          <t>Analytical Chemistry</t>
        </is>
      </c>
      <c r="C16" s="19" t="n">
        <v>58</v>
      </c>
      <c r="D16" s="17" t="inlineStr">
        <is>
          <t>CAN QUYET DINH</t>
        </is>
      </c>
      <c r="E16" s="18" t="inlineStr"/>
      <c r="F16" s="18" t="inlineStr">
        <is>
          <t>not a medical subject — candidate for JUNK instead</t>
        </is>
      </c>
      <c r="G16" s="20" t="n"/>
      <c r="H16" s="20" t="n"/>
      <c r="I16" s="21" t="n"/>
    </row>
    <row r="17">
      <c r="A17" s="17" t="n">
        <v>16</v>
      </c>
      <c r="B17" s="18" t="inlineStr">
        <is>
          <t>Environmental Health</t>
        </is>
      </c>
      <c r="C17" s="19" t="n">
        <v>46</v>
      </c>
      <c r="D17" s="17" t="inlineStr">
        <is>
          <t>CAN QUYET DINH</t>
        </is>
      </c>
      <c r="E17" s="18" t="inlineStr">
        <is>
          <t>Public Health</t>
        </is>
      </c>
      <c r="F17" s="18" t="inlineStr">
        <is>
          <t>Public Health subdomain</t>
        </is>
      </c>
      <c r="G17" s="20" t="n"/>
      <c r="H17" s="20" t="n"/>
      <c r="I17" s="21" t="n"/>
    </row>
    <row r="18">
      <c r="A18" s="17" t="n">
        <v>17</v>
      </c>
      <c r="B18" s="18" t="inlineStr">
        <is>
          <t>Endodontics</t>
        </is>
      </c>
      <c r="C18" s="19" t="n">
        <v>43</v>
      </c>
      <c r="D18" s="17" t="inlineStr">
        <is>
          <t>CAN QUYET DINH</t>
        </is>
      </c>
      <c r="E18" s="18" t="inlineStr"/>
      <c r="F18" s="18" t="inlineStr">
        <is>
          <t>dental subspecialty; no canonical target</t>
        </is>
      </c>
      <c r="G18" s="20" t="n"/>
      <c r="H18" s="20" t="n"/>
      <c r="I18" s="21" t="n"/>
    </row>
    <row r="19">
      <c r="A19" s="17" t="n">
        <v>18</v>
      </c>
      <c r="B19" s="18" t="inlineStr">
        <is>
          <t>Microbiology</t>
        </is>
      </c>
      <c r="C19" s="19" t="n">
        <v>40</v>
      </c>
      <c r="D19" s="17" t="inlineStr">
        <is>
          <t>CAN QUYET DINH</t>
        </is>
      </c>
      <c r="E19" s="18" t="inlineStr"/>
      <c r="F19" s="18" t="inlineStr">
        <is>
          <t>preclinical science; overlaps Infectious Diseases</t>
        </is>
      </c>
      <c r="G19" s="20" t="n"/>
      <c r="H19" s="20" t="n"/>
      <c r="I19" s="21" t="n"/>
    </row>
    <row r="20">
      <c r="A20" s="17" t="n">
        <v>19</v>
      </c>
      <c r="B20" s="18" t="inlineStr">
        <is>
          <t>Neurosurgery</t>
        </is>
      </c>
      <c r="C20" s="19" t="n">
        <v>36</v>
      </c>
      <c r="D20" s="17" t="inlineStr">
        <is>
          <t>CAN QUYET DINH</t>
        </is>
      </c>
      <c r="E20" s="18" t="inlineStr">
        <is>
          <t>Surgery</t>
        </is>
      </c>
      <c r="F20" s="18" t="inlineStr">
        <is>
          <t>could equally roll into Neurology — judgement call</t>
        </is>
      </c>
      <c r="G20" s="20" t="n"/>
      <c r="H20" s="20" t="n"/>
      <c r="I20" s="21" t="n"/>
    </row>
    <row r="21">
      <c r="A21" s="17" t="n">
        <v>20</v>
      </c>
      <c r="B21" s="18" t="inlineStr">
        <is>
          <t>Epidemiology</t>
        </is>
      </c>
      <c r="C21" s="19" t="n">
        <v>35</v>
      </c>
      <c r="D21" s="17" t="inlineStr">
        <is>
          <t>CAN QUYET DINH</t>
        </is>
      </c>
      <c r="E21" s="18" t="inlineStr">
        <is>
          <t>Public Health</t>
        </is>
      </c>
      <c r="F21" s="18" t="inlineStr">
        <is>
          <t>core Public Health discipline</t>
        </is>
      </c>
      <c r="G21" s="20" t="n"/>
      <c r="H21" s="20" t="n"/>
      <c r="I21" s="21" t="n"/>
    </row>
    <row r="22">
      <c r="A22" s="17" t="n">
        <v>21</v>
      </c>
      <c r="B22" s="18" t="inlineStr">
        <is>
          <t>Laboratory Medicine</t>
        </is>
      </c>
      <c r="C22" s="19" t="n">
        <v>35</v>
      </c>
      <c r="D22" s="17" t="inlineStr">
        <is>
          <t>CAN QUYET DINH</t>
        </is>
      </c>
      <c r="E22" s="18" t="inlineStr">
        <is>
          <t>Pathology</t>
        </is>
      </c>
      <c r="F22" s="18" t="inlineStr">
        <is>
          <t>lab medicine commonly sits under Pathology</t>
        </is>
      </c>
      <c r="G22" s="20" t="n"/>
      <c r="H22" s="20" t="n"/>
      <c r="I22" s="21" t="n"/>
    </row>
    <row r="23">
      <c r="A23" s="17" t="n">
        <v>22</v>
      </c>
      <c r="B23" s="18" t="inlineStr">
        <is>
          <t>Nutrition</t>
        </is>
      </c>
      <c r="C23" s="19" t="n">
        <v>30</v>
      </c>
      <c r="D23" s="17" t="inlineStr">
        <is>
          <t>CAN QUYET DINH</t>
        </is>
      </c>
      <c r="E23" s="18" t="inlineStr"/>
      <c r="F23" s="18" t="inlineStr">
        <is>
          <t>spans Internal Medicine, Public Health, Endocrinology</t>
        </is>
      </c>
      <c r="G23" s="20" t="n"/>
      <c r="H23" s="20" t="n"/>
      <c r="I23" s="21" t="n"/>
    </row>
    <row r="24">
      <c r="A24" s="17" t="n">
        <v>23</v>
      </c>
      <c r="B24" s="18" t="inlineStr">
        <is>
          <t>Pain Management</t>
        </is>
      </c>
      <c r="C24" s="19" t="n">
        <v>30</v>
      </c>
      <c r="D24" s="17" t="inlineStr">
        <is>
          <t>CAN QUYET DINH</t>
        </is>
      </c>
      <c r="E24" s="18" t="inlineStr">
        <is>
          <t>Anesthesiology</t>
        </is>
      </c>
      <c r="F24" s="18" t="inlineStr">
        <is>
          <t>could equally be Palliative Medicine — judgement call</t>
        </is>
      </c>
      <c r="G24" s="20" t="n"/>
      <c r="H24" s="20" t="n"/>
      <c r="I24" s="21" t="n"/>
    </row>
    <row r="25">
      <c r="A25" s="17" t="n">
        <v>24</v>
      </c>
      <c r="B25" s="18" t="inlineStr">
        <is>
          <t>Medical Microbiology</t>
        </is>
      </c>
      <c r="C25" s="19" t="n">
        <v>24</v>
      </c>
      <c r="D25" s="17" t="inlineStr">
        <is>
          <t>CAN QUYET DINH</t>
        </is>
      </c>
      <c r="E25" s="18" t="inlineStr"/>
      <c r="F25" s="18" t="inlineStr">
        <is>
          <t>merge with Microbiology first</t>
        </is>
      </c>
      <c r="G25" s="20" t="n"/>
      <c r="H25" s="20" t="n"/>
      <c r="I25" s="21" t="n"/>
    </row>
    <row r="26">
      <c r="A26" s="17" t="n">
        <v>25</v>
      </c>
      <c r="B26" s="18" t="inlineStr">
        <is>
          <t>Virology</t>
        </is>
      </c>
      <c r="C26" s="19" t="n">
        <v>24</v>
      </c>
      <c r="D26" s="17" t="inlineStr">
        <is>
          <t>CAN QUYET DINH</t>
        </is>
      </c>
      <c r="E26" s="18" t="inlineStr"/>
      <c r="F26" s="18" t="inlineStr">
        <is>
          <t>merge with Microbiology, or roll into Infectious Diseases</t>
        </is>
      </c>
      <c r="G26" s="20" t="n"/>
      <c r="H26" s="20" t="n"/>
      <c r="I26" s="21" t="n"/>
    </row>
    <row r="27">
      <c r="A27" s="17" t="n">
        <v>26</v>
      </c>
      <c r="B27" s="18" t="inlineStr">
        <is>
          <t>Occupational Medicine</t>
        </is>
      </c>
      <c r="C27" s="19" t="n">
        <v>22</v>
      </c>
      <c r="D27" s="17" t="inlineStr">
        <is>
          <t>CAN QUYET DINH</t>
        </is>
      </c>
      <c r="E27" s="18" t="inlineStr">
        <is>
          <t>Public Health</t>
        </is>
      </c>
      <c r="F27" s="18" t="inlineStr">
        <is>
          <t>merge with Occupational Health first</t>
        </is>
      </c>
      <c r="G27" s="20" t="n"/>
      <c r="H27" s="20" t="n"/>
      <c r="I27" s="21" t="n"/>
    </row>
    <row r="28">
      <c r="A28" s="17" t="n">
        <v>27</v>
      </c>
      <c r="B28" s="18" t="inlineStr">
        <is>
          <t>Addiction Medicine</t>
        </is>
      </c>
      <c r="C28" s="19" t="n">
        <v>18</v>
      </c>
      <c r="D28" s="17" t="inlineStr">
        <is>
          <t>CAN QUYET DINH</t>
        </is>
      </c>
      <c r="E28" s="18" t="inlineStr">
        <is>
          <t>Psychiatry</t>
        </is>
      </c>
      <c r="F28" s="18" t="inlineStr">
        <is>
          <t>commonly sits under Psychiatry</t>
        </is>
      </c>
      <c r="G28" s="20" t="n"/>
      <c r="H28" s="20" t="n"/>
      <c r="I28" s="21" t="n"/>
    </row>
    <row r="29">
      <c r="A29" s="17" t="n">
        <v>28</v>
      </c>
      <c r="B29" s="18" t="inlineStr">
        <is>
          <t>Physics</t>
        </is>
      </c>
      <c r="C29" s="19" t="n">
        <v>17</v>
      </c>
      <c r="D29" s="17" t="inlineStr">
        <is>
          <t>CAN QUYET DINH</t>
        </is>
      </c>
      <c r="E29" s="18" t="inlineStr"/>
      <c r="F29" s="18" t="inlineStr">
        <is>
          <t>not a medical subject — candidate for JUNK instead</t>
        </is>
      </c>
      <c r="G29" s="20" t="n"/>
      <c r="H29" s="20" t="n"/>
      <c r="I29" s="21" t="n"/>
    </row>
    <row r="30">
      <c r="A30" s="17" t="n">
        <v>29</v>
      </c>
      <c r="B30" s="18" t="inlineStr">
        <is>
          <t>Histology</t>
        </is>
      </c>
      <c r="C30" s="19" t="n">
        <v>15</v>
      </c>
      <c r="D30" s="17" t="inlineStr">
        <is>
          <t>CAN QUYET DINH</t>
        </is>
      </c>
      <c r="E30" s="18" t="inlineStr">
        <is>
          <t>Pathology</t>
        </is>
      </c>
      <c r="F30" s="18" t="inlineStr">
        <is>
          <t>microscopic anatomy; closest clinical home is Pathology</t>
        </is>
      </c>
      <c r="G30" s="20" t="n"/>
      <c r="H30" s="20" t="n"/>
      <c r="I30" s="21" t="n"/>
    </row>
    <row r="31">
      <c r="A31" s="17" t="n">
        <v>30</v>
      </c>
      <c r="B31" s="18" t="inlineStr">
        <is>
          <t>Nursing</t>
        </is>
      </c>
      <c r="C31" s="19" t="n">
        <v>15</v>
      </c>
      <c r="D31" s="17" t="inlineStr">
        <is>
          <t>CAN QUYET DINH</t>
        </is>
      </c>
      <c r="E31" s="18" t="inlineStr"/>
      <c r="F31" s="18" t="inlineStr">
        <is>
          <t>a profession, not one of the 34 physician specialties</t>
        </is>
      </c>
      <c r="G31" s="20" t="n"/>
      <c r="H31" s="20" t="n"/>
      <c r="I31" s="21" t="n"/>
    </row>
    <row r="32">
      <c r="A32" s="17" t="n">
        <v>31</v>
      </c>
      <c r="B32" s="18" t="inlineStr">
        <is>
          <t>Audiology</t>
        </is>
      </c>
      <c r="C32" s="19" t="n">
        <v>13</v>
      </c>
      <c r="D32" s="17" t="inlineStr">
        <is>
          <t>CAN QUYET DINH</t>
        </is>
      </c>
      <c r="E32" s="18" t="inlineStr">
        <is>
          <t>Otolaryngology</t>
        </is>
      </c>
      <c r="F32" s="18" t="inlineStr">
        <is>
          <t>allied-health field adjacent to ENT</t>
        </is>
      </c>
      <c r="G32" s="20" t="n"/>
      <c r="H32" s="20" t="n"/>
      <c r="I32" s="21" t="n"/>
    </row>
    <row r="33">
      <c r="A33" s="17" t="n">
        <v>32</v>
      </c>
      <c r="B33" s="18" t="inlineStr">
        <is>
          <t>Botany</t>
        </is>
      </c>
      <c r="C33" s="19" t="n">
        <v>12</v>
      </c>
      <c r="D33" s="17" t="inlineStr">
        <is>
          <t>CAN QUYET DINH</t>
        </is>
      </c>
      <c r="E33" s="18" t="inlineStr"/>
      <c r="F33" s="18" t="inlineStr">
        <is>
          <t>not a medical subject; may relate to Eastern Medicine herbs</t>
        </is>
      </c>
      <c r="G33" s="20" t="n"/>
      <c r="H33" s="20" t="n"/>
      <c r="I33" s="21" t="n"/>
    </row>
    <row r="34">
      <c r="A34" s="17" t="n">
        <v>33</v>
      </c>
      <c r="B34" s="18" t="inlineStr">
        <is>
          <t>Pharmacognosy</t>
        </is>
      </c>
      <c r="C34" s="19" t="n">
        <v>12</v>
      </c>
      <c r="D34" s="17" t="inlineStr">
        <is>
          <t>CAN QUYET DINH</t>
        </is>
      </c>
      <c r="E34" s="18" t="inlineStr">
        <is>
          <t>Eastern Medicine</t>
        </is>
      </c>
      <c r="F34" s="18" t="inlineStr">
        <is>
          <t>medicinal-plant science; overlaps herbal medicine</t>
        </is>
      </c>
      <c r="G34" s="20" t="n"/>
      <c r="H34" s="20" t="n"/>
      <c r="I34" s="21" t="n"/>
    </row>
    <row r="35">
      <c r="A35" s="17" t="n">
        <v>34</v>
      </c>
      <c r="B35" s="18" t="inlineStr">
        <is>
          <t>Oral and Maxillofacial Surgery</t>
        </is>
      </c>
      <c r="C35" s="19" t="n">
        <v>8</v>
      </c>
      <c r="D35" s="17" t="inlineStr">
        <is>
          <t>CAN QUYET DINH</t>
        </is>
      </c>
      <c r="E35" s="18" t="inlineStr">
        <is>
          <t>Surgery</t>
        </is>
      </c>
      <c r="F35" s="18" t="inlineStr">
        <is>
          <t>surgical, but dental-adjacent — judgement call</t>
        </is>
      </c>
      <c r="G35" s="20" t="n"/>
      <c r="H35" s="20" t="n"/>
      <c r="I35" s="21" t="n"/>
    </row>
    <row r="36">
      <c r="A36" s="17" t="n">
        <v>35</v>
      </c>
      <c r="B36" s="18" t="inlineStr">
        <is>
          <t>Reproductive Medicine</t>
        </is>
      </c>
      <c r="C36" s="19" t="n">
        <v>8</v>
      </c>
      <c r="D36" s="17" t="inlineStr">
        <is>
          <t>CAN QUYET DINH</t>
        </is>
      </c>
      <c r="E36" s="18" t="inlineStr">
        <is>
          <t>Obstetrics and Gynecology</t>
        </is>
      </c>
      <c r="F36" s="18" t="inlineStr">
        <is>
          <t>OB/GYN subspecialty</t>
        </is>
      </c>
      <c r="G36" s="20" t="n"/>
      <c r="H36" s="20" t="n"/>
      <c r="I36" s="21" t="n"/>
    </row>
    <row r="37">
      <c r="A37" s="17" t="n">
        <v>36</v>
      </c>
      <c r="B37" s="18" t="inlineStr">
        <is>
          <t>Medical Genetics</t>
        </is>
      </c>
      <c r="C37" s="19" t="n">
        <v>7</v>
      </c>
      <c r="D37" s="17" t="inlineStr">
        <is>
          <t>CAN QUYET DINH</t>
        </is>
      </c>
      <c r="E37" s="18" t="inlineStr"/>
      <c r="F37" s="18" t="inlineStr">
        <is>
          <t>merge with Genetics; no canonical target</t>
        </is>
      </c>
      <c r="G37" s="20" t="n"/>
      <c r="H37" s="20" t="n"/>
      <c r="I37" s="21" t="n"/>
    </row>
    <row r="38">
      <c r="A38" s="17" t="n">
        <v>37</v>
      </c>
      <c r="B38" s="18" t="inlineStr">
        <is>
          <t>Periodontics</t>
        </is>
      </c>
      <c r="C38" s="19" t="n">
        <v>6</v>
      </c>
      <c r="D38" s="17" t="inlineStr">
        <is>
          <t>CAN QUYET DINH</t>
        </is>
      </c>
      <c r="E38" s="18" t="inlineStr"/>
      <c r="F38" s="18" t="inlineStr">
        <is>
          <t>merge with Periodontology; no canonical target</t>
        </is>
      </c>
      <c r="G38" s="20" t="n"/>
      <c r="H38" s="20" t="n"/>
      <c r="I38" s="21" t="n"/>
    </row>
    <row r="39">
      <c r="A39" s="17" t="n">
        <v>38</v>
      </c>
      <c r="B39" s="18" t="inlineStr">
        <is>
          <t>Critical Care</t>
        </is>
      </c>
      <c r="C39" s="19" t="n">
        <v>5</v>
      </c>
      <c r="D39" s="17" t="inlineStr">
        <is>
          <t>CAN QUYET DINH</t>
        </is>
      </c>
      <c r="E39" s="18" t="inlineStr"/>
      <c r="F39" s="18" t="inlineStr">
        <is>
          <t>merge with Intensive Care*; no canonical target</t>
        </is>
      </c>
      <c r="G39" s="20" t="n"/>
      <c r="H39" s="20" t="n"/>
      <c r="I39" s="21" t="n"/>
    </row>
    <row r="40">
      <c r="A40" s="17" t="n">
        <v>39</v>
      </c>
      <c r="B40" s="18" t="inlineStr">
        <is>
          <t>Genetic Engineering</t>
        </is>
      </c>
      <c r="C40" s="19" t="n">
        <v>5</v>
      </c>
      <c r="D40" s="17" t="inlineStr">
        <is>
          <t>CAN QUYET DINH</t>
        </is>
      </c>
      <c r="E40" s="18" t="inlineStr"/>
      <c r="F40" s="18" t="inlineStr">
        <is>
          <t>merge with Genetics; no canonical target</t>
        </is>
      </c>
      <c r="G40" s="20" t="n"/>
      <c r="H40" s="20" t="n"/>
      <c r="I40" s="21" t="n"/>
    </row>
    <row r="41">
      <c r="A41" s="17" t="n">
        <v>40</v>
      </c>
      <c r="B41" s="18" t="inlineStr">
        <is>
          <t>Occupational Health</t>
        </is>
      </c>
      <c r="C41" s="19" t="n">
        <v>5</v>
      </c>
      <c r="D41" s="17" t="inlineStr">
        <is>
          <t>CAN QUYET DINH</t>
        </is>
      </c>
      <c r="E41" s="18" t="inlineStr">
        <is>
          <t>Public Health</t>
        </is>
      </c>
      <c r="F41" s="18" t="inlineStr">
        <is>
          <t>merge with Occupational Medicine first</t>
        </is>
      </c>
      <c r="G41" s="20" t="n"/>
      <c r="H41" s="20" t="n"/>
      <c r="I41" s="21" t="n"/>
    </row>
    <row r="42">
      <c r="A42" s="17" t="n">
        <v>41</v>
      </c>
      <c r="B42" s="18" t="inlineStr">
        <is>
          <t>Forensic Medicine</t>
        </is>
      </c>
      <c r="C42" s="19" t="n">
        <v>4</v>
      </c>
      <c r="D42" s="17" t="inlineStr">
        <is>
          <t>CAN QUYET DINH</t>
        </is>
      </c>
      <c r="E42" s="18" t="inlineStr">
        <is>
          <t>Pathology</t>
        </is>
      </c>
      <c r="F42" s="18" t="inlineStr">
        <is>
          <t>forensic pathology is nearest, but scope is wider</t>
        </is>
      </c>
      <c r="G42" s="20" t="n"/>
      <c r="H42" s="20" t="n"/>
      <c r="I42" s="21" t="n"/>
    </row>
    <row r="43">
      <c r="A43" s="17" t="n">
        <v>42</v>
      </c>
      <c r="B43" s="18" t="inlineStr">
        <is>
          <t>General Dentistry</t>
        </is>
      </c>
      <c r="C43" s="19" t="n">
        <v>4</v>
      </c>
      <c r="D43" s="17" t="inlineStr">
        <is>
          <t>CAN QUYET DINH</t>
        </is>
      </c>
      <c r="E43" s="18" t="inlineStr"/>
      <c r="F43" s="18" t="inlineStr">
        <is>
          <t>merge with Dentistry; no canonical target</t>
        </is>
      </c>
      <c r="G43" s="20" t="n"/>
      <c r="H43" s="20" t="n"/>
      <c r="I43" s="21" t="n"/>
    </row>
    <row r="44">
      <c r="A44" s="17" t="n">
        <v>43</v>
      </c>
      <c r="B44" s="18" t="inlineStr">
        <is>
          <t>Electrocardiography</t>
        </is>
      </c>
      <c r="C44" s="19" t="n">
        <v>3</v>
      </c>
      <c r="D44" s="17" t="inlineStr">
        <is>
          <t>CAN QUYET DINH</t>
        </is>
      </c>
      <c r="E44" s="18" t="inlineStr">
        <is>
          <t>Cardiology</t>
        </is>
      </c>
      <c r="F44" s="18" t="inlineStr">
        <is>
          <t>an investigation, not a specialty</t>
        </is>
      </c>
      <c r="G44" s="20" t="n"/>
      <c r="H44" s="20" t="n"/>
      <c r="I44" s="21" t="n"/>
    </row>
    <row r="45">
      <c r="A45" s="17" t="n">
        <v>44</v>
      </c>
      <c r="B45" s="18" t="inlineStr">
        <is>
          <t>Hypertension</t>
        </is>
      </c>
      <c r="C45" s="19" t="n">
        <v>3</v>
      </c>
      <c r="D45" s="17" t="inlineStr">
        <is>
          <t>CAN QUYET DINH</t>
        </is>
      </c>
      <c r="E45" s="18" t="inlineStr">
        <is>
          <t>Cardiology</t>
        </is>
      </c>
      <c r="F45" s="18" t="inlineStr">
        <is>
          <t>a condition, not a specialty; Cardiology is nearest</t>
        </is>
      </c>
      <c r="G45" s="20" t="n"/>
      <c r="H45" s="20" t="n"/>
      <c r="I45" s="21" t="n"/>
    </row>
    <row r="46">
      <c r="A46" s="17" t="n">
        <v>45</v>
      </c>
      <c r="B46" s="18" t="inlineStr">
        <is>
          <t>Infection Control</t>
        </is>
      </c>
      <c r="C46" s="19" t="n">
        <v>3</v>
      </c>
      <c r="D46" s="17" t="inlineStr">
        <is>
          <t>CAN QUYET DINH</t>
        </is>
      </c>
      <c r="E46" s="18" t="inlineStr">
        <is>
          <t>Public Health</t>
        </is>
      </c>
      <c r="F46" s="18" t="inlineStr">
        <is>
          <t>practice domain spanning ID and Public Health</t>
        </is>
      </c>
      <c r="G46" s="20" t="n"/>
      <c r="H46" s="20" t="n"/>
      <c r="I46" s="21" t="n"/>
    </row>
    <row r="47">
      <c r="A47" s="17" t="n">
        <v>46</v>
      </c>
      <c r="B47" s="18" t="inlineStr">
        <is>
          <t>Medical Toxicology</t>
        </is>
      </c>
      <c r="C47" s="19" t="n">
        <v>3</v>
      </c>
      <c r="D47" s="17" t="inlineStr">
        <is>
          <t>CAN QUYET DINH</t>
        </is>
      </c>
      <c r="E47" s="18" t="inlineStr"/>
      <c r="F47" s="18" t="inlineStr">
        <is>
          <t>merge with Toxicology first; no canonical target</t>
        </is>
      </c>
      <c r="G47" s="20" t="n"/>
      <c r="H47" s="20" t="n"/>
      <c r="I47" s="21" t="n"/>
    </row>
    <row r="48">
      <c r="A48" s="17" t="n">
        <v>47</v>
      </c>
      <c r="B48" s="18" t="inlineStr">
        <is>
          <t>Prosthodontics</t>
        </is>
      </c>
      <c r="C48" s="19" t="n">
        <v>3</v>
      </c>
      <c r="D48" s="17" t="inlineStr">
        <is>
          <t>CAN QUYET DINH</t>
        </is>
      </c>
      <c r="E48" s="18" t="inlineStr"/>
      <c r="F48" s="18" t="inlineStr">
        <is>
          <t>dental subspecialty; no canonical target</t>
        </is>
      </c>
      <c r="G48" s="20" t="n"/>
      <c r="H48" s="20" t="n"/>
      <c r="I48" s="21" t="n"/>
    </row>
    <row r="49">
      <c r="A49" s="17" t="n">
        <v>48</v>
      </c>
      <c r="B49" s="18" t="inlineStr">
        <is>
          <t>Teratology</t>
        </is>
      </c>
      <c r="C49" s="19" t="n">
        <v>3</v>
      </c>
      <c r="D49" s="17" t="inlineStr">
        <is>
          <t>CAN QUYET DINH</t>
        </is>
      </c>
      <c r="E49" s="18" t="inlineStr"/>
      <c r="F49" s="18" t="inlineStr">
        <is>
          <t>developmental toxicology; no canonical target</t>
        </is>
      </c>
      <c r="G49" s="20" t="n"/>
      <c r="H49" s="20" t="n"/>
      <c r="I49" s="21" t="n"/>
    </row>
    <row r="50">
      <c r="A50" s="17" t="n">
        <v>49</v>
      </c>
      <c r="B50" s="18" t="inlineStr">
        <is>
          <t>Vascular Medicine</t>
        </is>
      </c>
      <c r="C50" s="19" t="n">
        <v>3</v>
      </c>
      <c r="D50" s="17" t="inlineStr">
        <is>
          <t>CAN QUYET DINH</t>
        </is>
      </c>
      <c r="E50" s="18" t="inlineStr">
        <is>
          <t>Cardiology</t>
        </is>
      </c>
      <c r="F50" s="18" t="inlineStr">
        <is>
          <t>could equally be Internal Medicine</t>
        </is>
      </c>
      <c r="G50" s="20" t="n"/>
      <c r="H50" s="20" t="n"/>
      <c r="I50" s="21" t="n"/>
    </row>
    <row r="51">
      <c r="A51" s="17" t="n">
        <v>50</v>
      </c>
      <c r="B51" s="18" t="inlineStr">
        <is>
          <t>Transfusion Medicine</t>
        </is>
      </c>
      <c r="C51" s="19" t="n">
        <v>2</v>
      </c>
      <c r="D51" s="17" t="inlineStr">
        <is>
          <t>CAN QUYET DINH</t>
        </is>
      </c>
      <c r="E51" s="18" t="inlineStr">
        <is>
          <t>Hematology</t>
        </is>
      </c>
      <c r="F51" s="18" t="inlineStr">
        <is>
          <t>commonly sits under Haematology</t>
        </is>
      </c>
      <c r="G51" s="20" t="n"/>
      <c r="H51" s="20" t="n"/>
      <c r="I51" s="21" t="n"/>
    </row>
    <row r="52">
      <c r="A52" s="17" t="n">
        <v>51</v>
      </c>
      <c r="B52" s="18" t="inlineStr">
        <is>
          <t>Cellular Biology</t>
        </is>
      </c>
      <c r="C52" s="19" t="n">
        <v>1</v>
      </c>
      <c r="D52" s="17" t="inlineStr">
        <is>
          <t>CAN QUYET DINH</t>
        </is>
      </c>
      <c r="E52" s="18" t="inlineStr"/>
      <c r="F52" s="18" t="inlineStr">
        <is>
          <t>merge with Cell Biology (HANDOFF.md §6 cites this pair)</t>
        </is>
      </c>
      <c r="G52" s="20" t="n"/>
      <c r="H52" s="20" t="n"/>
      <c r="I52" s="21" t="n"/>
    </row>
    <row r="53">
      <c r="A53" s="17" t="n">
        <v>52</v>
      </c>
      <c r="B53" s="18" t="inlineStr">
        <is>
          <t>Entomology</t>
        </is>
      </c>
      <c r="C53" s="19" t="n">
        <v>1</v>
      </c>
      <c r="D53" s="17" t="inlineStr">
        <is>
          <t>CAN QUYET DINH</t>
        </is>
      </c>
      <c r="E53" s="18" t="inlineStr"/>
      <c r="F53" s="18" t="inlineStr">
        <is>
          <t>may relate to Parasitology/vector-borne disease</t>
        </is>
      </c>
      <c r="G53" s="20" t="n"/>
      <c r="H53" s="20" t="n"/>
      <c r="I53" s="21" t="n"/>
    </row>
    <row r="54">
      <c r="A54" s="17" t="n">
        <v>53</v>
      </c>
      <c r="B54" s="18" t="inlineStr">
        <is>
          <t>Family Planning</t>
        </is>
      </c>
      <c r="C54" s="19" t="n">
        <v>1</v>
      </c>
      <c r="D54" s="17" t="inlineStr">
        <is>
          <t>CAN QUYET DINH</t>
        </is>
      </c>
      <c r="E54" s="18" t="inlineStr">
        <is>
          <t>Obstetrics and Gynecology</t>
        </is>
      </c>
      <c r="F54" s="18" t="inlineStr">
        <is>
          <t>could equally be Public Health</t>
        </is>
      </c>
      <c r="G54" s="20" t="n"/>
      <c r="H54" s="20" t="n"/>
      <c r="I54" s="21" t="n"/>
    </row>
    <row r="55">
      <c r="A55" s="17" t="n">
        <v>54</v>
      </c>
      <c r="B55" s="18" t="inlineStr">
        <is>
          <t>Genetic</t>
        </is>
      </c>
      <c r="C55" s="19" t="n">
        <v>1</v>
      </c>
      <c r="D55" s="17" t="inlineStr">
        <is>
          <t>CAN QUYET DINH</t>
        </is>
      </c>
      <c r="E55" s="18" t="inlineStr"/>
      <c r="F55" s="18" t="inlineStr">
        <is>
          <t>fragment of Genetics; merge first, then decide</t>
        </is>
      </c>
      <c r="G55" s="20" t="n"/>
      <c r="H55" s="20" t="n"/>
      <c r="I55" s="21" t="n"/>
    </row>
    <row r="56">
      <c r="A56" s="17" t="n">
        <v>55</v>
      </c>
      <c r="B56" s="18" t="inlineStr">
        <is>
          <t>Genetic Disorders</t>
        </is>
      </c>
      <c r="C56" s="19" t="n">
        <v>1</v>
      </c>
      <c r="D56" s="17" t="inlineStr">
        <is>
          <t>CAN QUYET DINH</t>
        </is>
      </c>
      <c r="E56" s="18" t="inlineStr"/>
      <c r="F56" s="18" t="inlineStr">
        <is>
          <t>merge with Genetics; no canonical target</t>
        </is>
      </c>
      <c r="G56" s="20" t="n"/>
      <c r="H56" s="20" t="n"/>
      <c r="I56" s="21" t="n"/>
    </row>
    <row r="57">
      <c r="A57" s="17" t="n">
        <v>56</v>
      </c>
      <c r="B57" s="18" t="inlineStr">
        <is>
          <t>Industrial Chemistry</t>
        </is>
      </c>
      <c r="C57" s="19" t="n">
        <v>1</v>
      </c>
      <c r="D57" s="17" t="inlineStr">
        <is>
          <t>CAN QUYET DINH</t>
        </is>
      </c>
      <c r="E57" s="18" t="inlineStr"/>
      <c r="F57" s="18" t="inlineStr">
        <is>
          <t>not a medical subject — candidate for JUNK instead</t>
        </is>
      </c>
      <c r="G57" s="20" t="n"/>
      <c r="H57" s="20" t="n"/>
      <c r="I57" s="21" t="n"/>
    </row>
    <row r="58">
      <c r="A58" s="17" t="n">
        <v>57</v>
      </c>
      <c r="B58" s="18" t="inlineStr">
        <is>
          <t>Intensive Care</t>
        </is>
      </c>
      <c r="C58" s="19" t="n">
        <v>1</v>
      </c>
      <c r="D58" s="17" t="inlineStr">
        <is>
          <t>CAN QUYET DINH</t>
        </is>
      </c>
      <c r="E58" s="18" t="inlineStr"/>
      <c r="F58" s="18" t="inlineStr">
        <is>
          <t>HANDOFF.md §6 cites this vs Intensive Care Medicine as a judgement call</t>
        </is>
      </c>
      <c r="G58" s="20" t="n"/>
      <c r="H58" s="20" t="n"/>
      <c r="I58" s="21" t="n"/>
    </row>
    <row r="59">
      <c r="A59" s="17" t="n">
        <v>58</v>
      </c>
      <c r="B59" s="18" t="inlineStr">
        <is>
          <t>Intensive Care Medicine</t>
        </is>
      </c>
      <c r="C59" s="19" t="n">
        <v>1</v>
      </c>
      <c r="D59" s="17" t="inlineStr">
        <is>
          <t>CAN QUYET DINH</t>
        </is>
      </c>
      <c r="E59" s="18" t="inlineStr"/>
      <c r="F59" s="18" t="inlineStr">
        <is>
          <t>HANDOFF.md §6 cites this vs Intensive Care as a judgement call</t>
        </is>
      </c>
      <c r="G59" s="20" t="n"/>
      <c r="H59" s="20" t="n"/>
      <c r="I59" s="21" t="n"/>
    </row>
    <row r="60">
      <c r="A60" s="17" t="n">
        <v>59</v>
      </c>
      <c r="B60" s="18" t="inlineStr">
        <is>
          <t>Pain Medicine</t>
        </is>
      </c>
      <c r="C60" s="19" t="n">
        <v>1</v>
      </c>
      <c r="D60" s="17" t="inlineStr">
        <is>
          <t>CAN QUYET DINH</t>
        </is>
      </c>
      <c r="E60" s="18" t="inlineStr">
        <is>
          <t>Anesthesiology</t>
        </is>
      </c>
      <c r="F60" s="18" t="inlineStr">
        <is>
          <t>merge with Pain Management first</t>
        </is>
      </c>
      <c r="G60" s="20" t="n"/>
      <c r="H60" s="20" t="n"/>
      <c r="I60" s="21" t="n"/>
    </row>
    <row r="61">
      <c r="A61" s="17" t="n">
        <v>60</v>
      </c>
      <c r="B61" s="18" t="inlineStr">
        <is>
          <t>Speech-Language Pathology</t>
        </is>
      </c>
      <c r="C61" s="19" t="n">
        <v>1</v>
      </c>
      <c r="D61" s="17" t="inlineStr">
        <is>
          <t>CAN QUYET DINH</t>
        </is>
      </c>
      <c r="E61" s="18" t="inlineStr">
        <is>
          <t>Physical Medicine and Rehabilitation</t>
        </is>
      </c>
      <c r="F61" s="18" t="inlineStr">
        <is>
          <t>allied-health rehab field</t>
        </is>
      </c>
      <c r="G61" s="20" t="n"/>
      <c r="H61" s="20" t="n"/>
      <c r="I61" s="21" t="n"/>
    </row>
    <row r="62">
      <c r="A62" s="17" t="n">
        <v>61</v>
      </c>
      <c r="B62" s="18" t="inlineStr">
        <is>
          <t>Transplant</t>
        </is>
      </c>
      <c r="C62" s="19" t="n">
        <v>1</v>
      </c>
      <c r="D62" s="17" t="inlineStr">
        <is>
          <t>CAN QUYET DINH</t>
        </is>
      </c>
      <c r="E62" s="18" t="inlineStr">
        <is>
          <t>Surgery</t>
        </is>
      </c>
      <c r="F62" s="18" t="inlineStr">
        <is>
          <t>fragment; likely transplant surgery</t>
        </is>
      </c>
      <c r="G62" s="20" t="n"/>
      <c r="H62" s="20" t="n"/>
      <c r="I62" s="21" t="n"/>
    </row>
    <row r="63">
      <c r="A63" s="22" t="n">
        <v>62</v>
      </c>
      <c r="B63" s="23" t="inlineStr">
        <is>
          <t>Other(No Category)</t>
        </is>
      </c>
      <c r="C63" s="24" t="n">
        <v>22</v>
      </c>
      <c r="D63" s="22" t="inlineStr">
        <is>
          <t>KHONG PHAI CHUYEN KHOA</t>
        </is>
      </c>
      <c r="E63" s="23" t="inlineStr"/>
      <c r="F63" s="23" t="inlineStr">
        <is>
          <t>explicit no-category placeholder</t>
        </is>
      </c>
      <c r="G63" s="20" t="n"/>
      <c r="H63" s="20" t="n"/>
      <c r="I63" s="21" t="n"/>
    </row>
    <row r="64">
      <c r="A64" s="22" t="n">
        <v>63</v>
      </c>
      <c r="B64" s="23" t="inlineStr">
        <is>
          <t>FDA</t>
        </is>
      </c>
      <c r="C64" s="24" t="n">
        <v>17</v>
      </c>
      <c r="D64" s="22" t="inlineStr">
        <is>
          <t>KHONG PHAI CHUYEN KHOA</t>
        </is>
      </c>
      <c r="E64" s="23" t="inlineStr"/>
      <c r="F64" s="23" t="inlineStr">
        <is>
          <t>regulatory agency, not a specialty</t>
        </is>
      </c>
      <c r="G64" s="20" t="n"/>
      <c r="H64" s="20" t="n"/>
      <c r="I64" s="21" t="n"/>
    </row>
    <row r="65">
      <c r="A65" s="22" t="n">
        <v>64</v>
      </c>
      <c r="B65" s="23" t="inlineStr">
        <is>
          <t>History of Medicine</t>
        </is>
      </c>
      <c r="C65" s="24" t="n">
        <v>9</v>
      </c>
      <c r="D65" s="22" t="inlineStr">
        <is>
          <t>KHONG PHAI CHUYEN KHOA</t>
        </is>
      </c>
      <c r="E65" s="23" t="inlineStr"/>
      <c r="F65" s="23" t="inlineStr">
        <is>
          <t>academic subject, not a specialty</t>
        </is>
      </c>
      <c r="G65" s="20" t="n"/>
      <c r="H65" s="20" t="n"/>
      <c r="I65" s="21" t="n"/>
    </row>
    <row r="66">
      <c r="A66" s="22" t="n">
        <v>65</v>
      </c>
      <c r="B66" s="23" t="inlineStr">
        <is>
          <t>Communication Skills</t>
        </is>
      </c>
      <c r="C66" s="24" t="n">
        <v>8</v>
      </c>
      <c r="D66" s="22" t="inlineStr">
        <is>
          <t>KHONG PHAI CHUYEN KHOA</t>
        </is>
      </c>
      <c r="E66" s="23" t="inlineStr"/>
      <c r="F66" s="23" t="inlineStr">
        <is>
          <t>training topic, not a specialty</t>
        </is>
      </c>
      <c r="G66" s="20" t="n"/>
      <c r="H66" s="20" t="n"/>
      <c r="I66" s="21" t="n"/>
    </row>
    <row r="67">
      <c r="A67" s="22" t="n">
        <v>66</v>
      </c>
      <c r="B67" s="23" t="inlineStr">
        <is>
          <t>Health Management</t>
        </is>
      </c>
      <c r="C67" s="24" t="n">
        <v>7</v>
      </c>
      <c r="D67" s="22" t="inlineStr">
        <is>
          <t>KHONG PHAI CHUYEN KHOA</t>
        </is>
      </c>
      <c r="E67" s="23" t="inlineStr"/>
      <c r="F67" s="23" t="inlineStr">
        <is>
          <t>health-systems domain, not a clinical specialty</t>
        </is>
      </c>
      <c r="G67" s="20" t="n"/>
      <c r="H67" s="20" t="n"/>
      <c r="I67" s="21" t="n"/>
    </row>
    <row r="68">
      <c r="A68" s="22" t="n">
        <v>67</v>
      </c>
      <c r="B68" s="23" t="inlineStr">
        <is>
          <t>Diagnosis</t>
        </is>
      </c>
      <c r="C68" s="24" t="n">
        <v>6</v>
      </c>
      <c r="D68" s="22" t="inlineStr">
        <is>
          <t>KHONG PHAI CHUYEN KHOA</t>
        </is>
      </c>
      <c r="E68" s="23" t="inlineStr"/>
      <c r="F68" s="23" t="inlineStr">
        <is>
          <t>process word, not a specialty</t>
        </is>
      </c>
      <c r="G68" s="20" t="n"/>
      <c r="H68" s="20" t="n"/>
      <c r="I68" s="21" t="n"/>
    </row>
    <row r="69">
      <c r="A69" s="22" t="n">
        <v>68</v>
      </c>
      <c r="B69" s="23" t="inlineStr">
        <is>
          <t>Diagnostic Medicine</t>
        </is>
      </c>
      <c r="C69" s="24" t="n">
        <v>4</v>
      </c>
      <c r="D69" s="22" t="inlineStr">
        <is>
          <t>KHONG PHAI CHUYEN KHOA</t>
        </is>
      </c>
      <c r="E69" s="23" t="inlineStr"/>
      <c r="F69" s="23" t="inlineStr">
        <is>
          <t>process word, not a specialty</t>
        </is>
      </c>
      <c r="G69" s="20" t="n"/>
      <c r="H69" s="20" t="n"/>
      <c r="I69" s="21" t="n"/>
    </row>
    <row r="70">
      <c r="A70" s="22" t="n">
        <v>69</v>
      </c>
      <c r="B70" s="23" t="inlineStr">
        <is>
          <t>Health Economics</t>
        </is>
      </c>
      <c r="C70" s="24" t="n">
        <v>4</v>
      </c>
      <c r="D70" s="22" t="inlineStr">
        <is>
          <t>KHONG PHAI CHUYEN KHOA</t>
        </is>
      </c>
      <c r="E70" s="23" t="inlineStr"/>
      <c r="F70" s="23" t="inlineStr">
        <is>
          <t>health-systems domain, not a clinical specialty</t>
        </is>
      </c>
      <c r="G70" s="20" t="n"/>
      <c r="H70" s="20" t="n"/>
      <c r="I70" s="21" t="n"/>
    </row>
    <row r="71">
      <c r="A71" s="22" t="n">
        <v>70</v>
      </c>
      <c r="B71" s="23" t="inlineStr">
        <is>
          <t>Sociology</t>
        </is>
      </c>
      <c r="C71" s="24" t="n">
        <v>4</v>
      </c>
      <c r="D71" s="22" t="inlineStr">
        <is>
          <t>KHONG PHAI CHUYEN KHOA</t>
        </is>
      </c>
      <c r="E71" s="23" t="inlineStr"/>
      <c r="F71" s="23" t="inlineStr">
        <is>
          <t>academic subject, not a specialty</t>
        </is>
      </c>
      <c r="G71" s="20" t="n"/>
      <c r="H71" s="20" t="n"/>
      <c r="I71" s="21" t="n"/>
    </row>
    <row r="72">
      <c r="A72" s="22" t="n">
        <v>71</v>
      </c>
      <c r="B72" s="23" t="inlineStr">
        <is>
          <t>Demographics</t>
        </is>
      </c>
      <c r="C72" s="24" t="n">
        <v>3</v>
      </c>
      <c r="D72" s="22" t="inlineStr">
        <is>
          <t>KHONG PHAI CHUYEN KHOA</t>
        </is>
      </c>
      <c r="E72" s="23" t="inlineStr"/>
      <c r="F72" s="23" t="inlineStr">
        <is>
          <t>academic subject, not a specialty</t>
        </is>
      </c>
      <c r="G72" s="20" t="n"/>
      <c r="H72" s="20" t="n"/>
      <c r="I72" s="21" t="n"/>
    </row>
    <row r="73">
      <c r="A73" s="22" t="n">
        <v>72</v>
      </c>
      <c r="B73" s="23" t="inlineStr">
        <is>
          <t>Diagnostic Testing</t>
        </is>
      </c>
      <c r="C73" s="24" t="n">
        <v>3</v>
      </c>
      <c r="D73" s="22" t="inlineStr">
        <is>
          <t>KHONG PHAI CHUYEN KHOA</t>
        </is>
      </c>
      <c r="E73" s="23" t="inlineStr"/>
      <c r="F73" s="23" t="inlineStr">
        <is>
          <t>process word, not a specialty</t>
        </is>
      </c>
      <c r="G73" s="20" t="n"/>
      <c r="H73" s="20" t="n"/>
      <c r="I73" s="21" t="n"/>
    </row>
    <row r="74">
      <c r="A74" s="22" t="n">
        <v>73</v>
      </c>
      <c r="B74" s="23" t="inlineStr">
        <is>
          <t>Pharmaceutical</t>
        </is>
      </c>
      <c r="C74" s="24" t="n">
        <v>3</v>
      </c>
      <c r="D74" s="22" t="inlineStr">
        <is>
          <t>KHONG PHAI CHUYEN KHOA</t>
        </is>
      </c>
      <c r="E74" s="23" t="inlineStr"/>
      <c r="F74" s="23" t="inlineStr">
        <is>
          <t>adjective fragment, not a specialty name</t>
        </is>
      </c>
      <c r="G74" s="20" t="n"/>
      <c r="H74" s="20" t="n"/>
      <c r="I74" s="21" t="n"/>
    </row>
    <row r="75">
      <c r="A75" s="22" t="n">
        <v>74</v>
      </c>
      <c r="B75" s="23" t="inlineStr">
        <is>
          <t>Classification</t>
        </is>
      </c>
      <c r="C75" s="24" t="n">
        <v>2</v>
      </c>
      <c r="D75" s="22" t="inlineStr">
        <is>
          <t>KHONG PHAI CHUYEN KHOA</t>
        </is>
      </c>
      <c r="E75" s="23" t="inlineStr"/>
      <c r="F75" s="23" t="inlineStr">
        <is>
          <t>process word, not a specialty</t>
        </is>
      </c>
      <c r="G75" s="20" t="n"/>
      <c r="H75" s="20" t="n"/>
      <c r="I75" s="21" t="n"/>
    </row>
    <row r="76">
      <c r="A76" s="22" t="n">
        <v>75</v>
      </c>
      <c r="B76" s="23" t="inlineStr">
        <is>
          <t>Medical Ethics</t>
        </is>
      </c>
      <c r="C76" s="24" t="n">
        <v>2</v>
      </c>
      <c r="D76" s="22" t="inlineStr">
        <is>
          <t>KHONG PHAI CHUYEN KHOA</t>
        </is>
      </c>
      <c r="E76" s="23" t="inlineStr"/>
      <c r="F76" s="23" t="inlineStr">
        <is>
          <t>academic subject, not a specialty</t>
        </is>
      </c>
      <c r="G76" s="20" t="n"/>
      <c r="H76" s="20" t="n"/>
      <c r="I76" s="21" t="n"/>
    </row>
    <row r="77">
      <c r="A77" s="22" t="n">
        <v>76</v>
      </c>
      <c r="B77" s="23" t="inlineStr">
        <is>
          <t>Physical Examination</t>
        </is>
      </c>
      <c r="C77" s="24" t="n">
        <v>2</v>
      </c>
      <c r="D77" s="22" t="inlineStr">
        <is>
          <t>KHONG PHAI CHUYEN KHOA</t>
        </is>
      </c>
      <c r="E77" s="23" t="inlineStr"/>
      <c r="F77" s="23" t="inlineStr">
        <is>
          <t>clinical procedure, not a specialty</t>
        </is>
      </c>
      <c r="G77" s="20" t="n"/>
      <c r="H77" s="20" t="n"/>
      <c r="I77" s="21" t="n"/>
    </row>
    <row r="78">
      <c r="A78" s="22" t="n">
        <v>77</v>
      </c>
      <c r="B78" s="23" t="inlineStr">
        <is>
          <t>Clinical Research</t>
        </is>
      </c>
      <c r="C78" s="24" t="n">
        <v>1</v>
      </c>
      <c r="D78" s="22" t="inlineStr">
        <is>
          <t>KHONG PHAI CHUYEN KHOA</t>
        </is>
      </c>
      <c r="E78" s="23" t="inlineStr"/>
      <c r="F78" s="23" t="inlineStr">
        <is>
          <t>activity, not a specialty</t>
        </is>
      </c>
      <c r="G78" s="20" t="n"/>
      <c r="H78" s="20" t="n"/>
      <c r="I78" s="21" t="n"/>
    </row>
    <row r="79">
      <c r="A79" s="22" t="n">
        <v>78</v>
      </c>
      <c r="B79" s="23" t="inlineStr">
        <is>
          <t>Etiology</t>
        </is>
      </c>
      <c r="C79" s="24" t="n">
        <v>1</v>
      </c>
      <c r="D79" s="22" t="inlineStr">
        <is>
          <t>KHONG PHAI CHUYEN KHOA</t>
        </is>
      </c>
      <c r="E79" s="23" t="inlineStr"/>
      <c r="F79" s="23" t="inlineStr">
        <is>
          <t>concept word, not a specialty</t>
        </is>
      </c>
      <c r="G79" s="20" t="n"/>
      <c r="H79" s="20" t="n"/>
      <c r="I79" s="21" t="n"/>
    </row>
    <row r="80">
      <c r="A80" s="22" t="n">
        <v>79</v>
      </c>
      <c r="B80" s="23" t="inlineStr">
        <is>
          <t>Health Administration</t>
        </is>
      </c>
      <c r="C80" s="24" t="n">
        <v>1</v>
      </c>
      <c r="D80" s="22" t="inlineStr">
        <is>
          <t>KHONG PHAI CHUYEN KHOA</t>
        </is>
      </c>
      <c r="E80" s="23" t="inlineStr"/>
      <c r="F80" s="23" t="inlineStr">
        <is>
          <t>health-systems domain, not a clinical specialty</t>
        </is>
      </c>
      <c r="G80" s="20" t="n"/>
      <c r="H80" s="20" t="n"/>
      <c r="I80" s="21" t="n"/>
    </row>
    <row r="81">
      <c r="A81" s="22" t="n">
        <v>80</v>
      </c>
      <c r="B81" s="23" t="inlineStr">
        <is>
          <t>Health Policy</t>
        </is>
      </c>
      <c r="C81" s="24" t="n">
        <v>1</v>
      </c>
      <c r="D81" s="22" t="inlineStr">
        <is>
          <t>KHONG PHAI CHUYEN KHOA</t>
        </is>
      </c>
      <c r="E81" s="23" t="inlineStr"/>
      <c r="F81" s="23" t="inlineStr">
        <is>
          <t>health-systems domain, not a clinical specialty</t>
        </is>
      </c>
      <c r="G81" s="20" t="n"/>
      <c r="H81" s="20" t="n"/>
      <c r="I81" s="21" t="n"/>
    </row>
    <row r="82">
      <c r="A82" s="22" t="n">
        <v>81</v>
      </c>
      <c r="B82" s="23" t="inlineStr">
        <is>
          <t>Health System</t>
        </is>
      </c>
      <c r="C82" s="24" t="n">
        <v>1</v>
      </c>
      <c r="D82" s="22" t="inlineStr">
        <is>
          <t>KHONG PHAI CHUYEN KHOA</t>
        </is>
      </c>
      <c r="E82" s="23" t="inlineStr"/>
      <c r="F82" s="23" t="inlineStr">
        <is>
          <t>health-systems domain, not a clinical specialty</t>
        </is>
      </c>
      <c r="G82" s="20" t="n"/>
      <c r="H82" s="20" t="n"/>
      <c r="I82" s="21" t="n"/>
    </row>
    <row r="83">
      <c r="A83" s="22" t="n">
        <v>82</v>
      </c>
      <c r="B83" s="23" t="inlineStr">
        <is>
          <t>Patient Safety</t>
        </is>
      </c>
      <c r="C83" s="24" t="n">
        <v>1</v>
      </c>
      <c r="D83" s="22" t="inlineStr">
        <is>
          <t>KHONG PHAI CHUYEN KHOA</t>
        </is>
      </c>
      <c r="E83" s="23" t="inlineStr"/>
      <c r="F83" s="23" t="inlineStr">
        <is>
          <t>quality-improvement domain, not a specialty</t>
        </is>
      </c>
      <c r="G83" s="20" t="n"/>
      <c r="H83" s="20" t="n"/>
      <c r="I83" s="21" t="n"/>
    </row>
    <row r="84">
      <c r="A84" s="22" t="n">
        <v>83</v>
      </c>
      <c r="B84" s="23" t="inlineStr">
        <is>
          <t>Research</t>
        </is>
      </c>
      <c r="C84" s="24" t="n">
        <v>1</v>
      </c>
      <c r="D84" s="22" t="inlineStr">
        <is>
          <t>KHONG PHAI CHUYEN KHOA</t>
        </is>
      </c>
      <c r="E84" s="23" t="inlineStr"/>
      <c r="F84" s="23" t="inlineStr">
        <is>
          <t>activity, not a specialty</t>
        </is>
      </c>
      <c r="G84" s="20" t="n"/>
      <c r="H84" s="20" t="n"/>
      <c r="I84" s="21" t="n"/>
    </row>
    <row r="85">
      <c r="A85" s="22" t="n">
        <v>84</v>
      </c>
      <c r="B85" s="23" t="inlineStr">
        <is>
          <t>Risk Assessment</t>
        </is>
      </c>
      <c r="C85" s="24" t="n">
        <v>1</v>
      </c>
      <c r="D85" s="22" t="inlineStr">
        <is>
          <t>KHONG PHAI CHUYEN KHOA</t>
        </is>
      </c>
      <c r="E85" s="23" t="inlineStr"/>
      <c r="F85" s="23" t="inlineStr">
        <is>
          <t>activity, not a specialty</t>
        </is>
      </c>
      <c r="G85" s="20" t="n"/>
      <c r="H85" s="20" t="n"/>
      <c r="I85" s="21" t="n"/>
    </row>
    <row r="86">
      <c r="A86" s="25" t="n">
        <v>85</v>
      </c>
      <c r="B86" s="26" t="inlineStr">
        <is>
          <t>Immunology</t>
        </is>
      </c>
      <c r="C86" s="27" t="n">
        <v>33</v>
      </c>
      <c r="D86" s="25" t="inlineStr">
        <is>
          <t>BIEN THE GAN</t>
        </is>
      </c>
      <c r="E86" s="26" t="inlineStr">
        <is>
          <t>Allergy and Immunology</t>
        </is>
      </c>
      <c r="F86" s="26" t="inlineStr">
        <is>
          <t>canonical name already contains this term</t>
        </is>
      </c>
      <c r="G86" s="20" t="n"/>
      <c r="H86" s="20" t="n"/>
      <c r="I86" s="21" t="n"/>
    </row>
    <row r="87">
      <c r="A87" s="25" t="n">
        <v>86</v>
      </c>
      <c r="B87" s="26" t="inlineStr">
        <is>
          <t>Vascular Surgery</t>
        </is>
      </c>
      <c r="C87" s="27" t="n">
        <v>24</v>
      </c>
      <c r="D87" s="25" t="inlineStr">
        <is>
          <t>BIEN THE GAN</t>
        </is>
      </c>
      <c r="E87" s="26" t="inlineStr">
        <is>
          <t>Surgery</t>
        </is>
      </c>
      <c r="F87" s="26" t="inlineStr">
        <is>
          <t>established surgical subspecialty</t>
        </is>
      </c>
      <c r="G87" s="20" t="n"/>
      <c r="H87" s="20" t="n"/>
      <c r="I87" s="21" t="n"/>
    </row>
    <row r="88">
      <c r="A88" s="25" t="n">
        <v>87</v>
      </c>
      <c r="B88" s="26" t="inlineStr">
        <is>
          <t>Hepatology</t>
        </is>
      </c>
      <c r="C88" s="27" t="n">
        <v>22</v>
      </c>
      <c r="D88" s="25" t="inlineStr">
        <is>
          <t>BIEN THE GAN</t>
        </is>
      </c>
      <c r="E88" s="26" t="inlineStr">
        <is>
          <t>Gastroenterology</t>
        </is>
      </c>
      <c r="F88" s="26" t="inlineStr">
        <is>
          <t>established subspecialty of GI</t>
        </is>
      </c>
      <c r="G88" s="20" t="n"/>
      <c r="H88" s="20" t="n"/>
      <c r="I88" s="21" t="n"/>
    </row>
    <row r="89">
      <c r="A89" s="25" t="n">
        <v>88</v>
      </c>
      <c r="B89" s="26" t="inlineStr">
        <is>
          <t>Neonatology</t>
        </is>
      </c>
      <c r="C89" s="27" t="n">
        <v>18</v>
      </c>
      <c r="D89" s="25" t="inlineStr">
        <is>
          <t>BIEN THE GAN</t>
        </is>
      </c>
      <c r="E89" s="26" t="inlineStr">
        <is>
          <t>Pediatrics</t>
        </is>
      </c>
      <c r="F89" s="26" t="inlineStr">
        <is>
          <t>established subspecialty of paediatrics</t>
        </is>
      </c>
      <c r="G89" s="20" t="n"/>
      <c r="H89" s="20" t="n"/>
      <c r="I89" s="21" t="n"/>
    </row>
    <row r="90">
      <c r="A90" s="25" t="n">
        <v>89</v>
      </c>
      <c r="B90" s="26" t="inlineStr">
        <is>
          <t>Infection Diseases</t>
        </is>
      </c>
      <c r="C90" s="27" t="n">
        <v>3</v>
      </c>
      <c r="D90" s="25" t="inlineStr">
        <is>
          <t>BIEN THE GAN</t>
        </is>
      </c>
      <c r="E90" s="26" t="inlineStr">
        <is>
          <t>Infectious Diseases</t>
        </is>
      </c>
      <c r="F90" s="26" t="inlineStr">
        <is>
          <t>typo; cited verbatim in HANDOFF.md §6</t>
        </is>
      </c>
      <c r="G90" s="20" t="n"/>
      <c r="H90" s="20" t="n"/>
      <c r="I90" s="21" t="n"/>
    </row>
    <row r="91">
      <c r="A91" s="25" t="n">
        <v>90</v>
      </c>
      <c r="B91" s="26" t="inlineStr">
        <is>
          <t>Interventional Cardiology</t>
        </is>
      </c>
      <c r="C91" s="27" t="n">
        <v>3</v>
      </c>
      <c r="D91" s="25" t="inlineStr">
        <is>
          <t>BIEN THE GAN</t>
        </is>
      </c>
      <c r="E91" s="26" t="inlineStr">
        <is>
          <t>Cardiology</t>
        </is>
      </c>
      <c r="F91" s="26" t="inlineStr">
        <is>
          <t>established subspecialty of cardiology</t>
        </is>
      </c>
      <c r="G91" s="20" t="n"/>
      <c r="H91" s="20" t="n"/>
      <c r="I91" s="21" t="n"/>
    </row>
    <row r="92">
      <c r="A92" s="25" t="n">
        <v>91</v>
      </c>
      <c r="B92" s="26" t="inlineStr">
        <is>
          <t>Preventive Medicine</t>
        </is>
      </c>
      <c r="C92" s="27" t="n">
        <v>3</v>
      </c>
      <c r="D92" s="25" t="inlineStr">
        <is>
          <t>BIEN THE GAN</t>
        </is>
      </c>
      <c r="E92" s="26" t="inlineStr">
        <is>
          <t>Preventive Healthcare</t>
        </is>
      </c>
      <c r="F92" s="26" t="inlineStr">
        <is>
          <t>wording variant of the same concept</t>
        </is>
      </c>
      <c r="G92" s="20" t="n"/>
      <c r="H92" s="20" t="n"/>
      <c r="I92" s="21" t="n"/>
    </row>
    <row r="93">
      <c r="A93" s="25" t="n">
        <v>92</v>
      </c>
      <c r="B93" s="26" t="inlineStr">
        <is>
          <t>Accident and Emergency</t>
        </is>
      </c>
      <c r="C93" s="27" t="n">
        <v>1</v>
      </c>
      <c r="D93" s="25" t="inlineStr">
        <is>
          <t>BIEN THE GAN</t>
        </is>
      </c>
      <c r="E93" s="26" t="inlineStr">
        <is>
          <t>Emergency Medicine</t>
        </is>
      </c>
      <c r="F93" s="26" t="inlineStr">
        <is>
          <t>standard UK/Commonwealth synonym</t>
        </is>
      </c>
      <c r="G93" s="20" t="n"/>
      <c r="H93" s="20" t="n"/>
      <c r="I93" s="21" t="n"/>
    </row>
    <row r="94">
      <c r="A94" s="25" t="n">
        <v>93</v>
      </c>
      <c r="B94" s="26" t="inlineStr">
        <is>
          <t>Family Medicine</t>
        </is>
      </c>
      <c r="C94" s="27" t="n">
        <v>1</v>
      </c>
      <c r="D94" s="25" t="inlineStr">
        <is>
          <t>BIEN THE GAN</t>
        </is>
      </c>
      <c r="E94" s="26" t="inlineStr">
        <is>
          <t>General Medicine</t>
        </is>
      </c>
      <c r="F94" s="26" t="inlineStr">
        <is>
          <t>standard synonym for primary/general care</t>
        </is>
      </c>
      <c r="G94" s="20" t="n"/>
      <c r="H94" s="20" t="n"/>
      <c r="I94" s="21" t="n"/>
    </row>
    <row r="95">
      <c r="A95" s="28" t="n">
        <v>94</v>
      </c>
      <c r="B95" s="29" t="inlineStr">
        <is>
          <t>Obstetrics and Gynecology</t>
        </is>
      </c>
      <c r="C95" s="30" t="n">
        <v>2108</v>
      </c>
      <c r="D95" s="28" t="inlineStr">
        <is>
          <t>DA CHUAN</t>
        </is>
      </c>
      <c r="E95" s="29" t="inlineStr">
        <is>
          <t>Obstetrics and Gynecology</t>
        </is>
      </c>
      <c r="F95" s="29" t="inlineStr">
        <is>
          <t>exact match to canonical name</t>
        </is>
      </c>
      <c r="G95" s="20" t="n"/>
      <c r="H95" s="20" t="n"/>
      <c r="I95" s="21" t="n"/>
    </row>
    <row r="96">
      <c r="A96" s="28" t="n">
        <v>95</v>
      </c>
      <c r="B96" s="29" t="inlineStr">
        <is>
          <t>Gastroenterology</t>
        </is>
      </c>
      <c r="C96" s="30" t="n">
        <v>2026</v>
      </c>
      <c r="D96" s="28" t="inlineStr">
        <is>
          <t>DA CHUAN</t>
        </is>
      </c>
      <c r="E96" s="29" t="inlineStr">
        <is>
          <t>Gastroenterology</t>
        </is>
      </c>
      <c r="F96" s="29" t="inlineStr">
        <is>
          <t>exact match to canonical name</t>
        </is>
      </c>
      <c r="G96" s="20" t="n"/>
      <c r="H96" s="20" t="n"/>
      <c r="I96" s="21" t="n"/>
    </row>
    <row r="97">
      <c r="A97" s="28" t="n">
        <v>96</v>
      </c>
      <c r="B97" s="29" t="inlineStr">
        <is>
          <t>Infectious Diseases</t>
        </is>
      </c>
      <c r="C97" s="30" t="n">
        <v>1561</v>
      </c>
      <c r="D97" s="28" t="inlineStr">
        <is>
          <t>DA CHUAN</t>
        </is>
      </c>
      <c r="E97" s="29" t="inlineStr">
        <is>
          <t>Infectious Diseases</t>
        </is>
      </c>
      <c r="F97" s="29" t="inlineStr">
        <is>
          <t>exact match to canonical name</t>
        </is>
      </c>
      <c r="G97" s="20" t="n"/>
      <c r="H97" s="20" t="n"/>
      <c r="I97" s="21" t="n"/>
    </row>
    <row r="98">
      <c r="A98" s="28" t="n">
        <v>97</v>
      </c>
      <c r="B98" s="29" t="inlineStr">
        <is>
          <t>Pulmonology</t>
        </is>
      </c>
      <c r="C98" s="30" t="n">
        <v>1503</v>
      </c>
      <c r="D98" s="28" t="inlineStr">
        <is>
          <t>DA CHUAN</t>
        </is>
      </c>
      <c r="E98" s="29" t="inlineStr">
        <is>
          <t>Pulmonology</t>
        </is>
      </c>
      <c r="F98" s="29" t="inlineStr">
        <is>
          <t>exact match to canonical name</t>
        </is>
      </c>
      <c r="G98" s="20" t="n"/>
      <c r="H98" s="20" t="n"/>
      <c r="I98" s="21" t="n"/>
    </row>
    <row r="99">
      <c r="A99" s="28" t="n">
        <v>98</v>
      </c>
      <c r="B99" s="29" t="inlineStr">
        <is>
          <t>Endocrinology</t>
        </is>
      </c>
      <c r="C99" s="30" t="n">
        <v>1200</v>
      </c>
      <c r="D99" s="28" t="inlineStr">
        <is>
          <t>DA CHUAN</t>
        </is>
      </c>
      <c r="E99" s="29" t="inlineStr">
        <is>
          <t>Endocrinology</t>
        </is>
      </c>
      <c r="F99" s="29" t="inlineStr">
        <is>
          <t>exact match to canonical name</t>
        </is>
      </c>
      <c r="G99" s="20" t="n"/>
      <c r="H99" s="20" t="n"/>
      <c r="I99" s="21" t="n"/>
    </row>
    <row r="100">
      <c r="A100" s="28" t="n">
        <v>99</v>
      </c>
      <c r="B100" s="29" t="inlineStr">
        <is>
          <t>Oncology</t>
        </is>
      </c>
      <c r="C100" s="30" t="n">
        <v>684</v>
      </c>
      <c r="D100" s="28" t="inlineStr">
        <is>
          <t>DA CHUAN</t>
        </is>
      </c>
      <c r="E100" s="29" t="inlineStr">
        <is>
          <t>Oncology</t>
        </is>
      </c>
      <c r="F100" s="29" t="inlineStr">
        <is>
          <t>exact match to canonical name</t>
        </is>
      </c>
      <c r="G100" s="20" t="n"/>
      <c r="H100" s="20" t="n"/>
      <c r="I100" s="21" t="n"/>
    </row>
    <row r="101">
      <c r="A101" s="28" t="n">
        <v>100</v>
      </c>
      <c r="B101" s="29" t="inlineStr">
        <is>
          <t>Pediatrics</t>
        </is>
      </c>
      <c r="C101" s="30" t="n">
        <v>670</v>
      </c>
      <c r="D101" s="28" t="inlineStr">
        <is>
          <t>DA CHUAN</t>
        </is>
      </c>
      <c r="E101" s="29" t="inlineStr">
        <is>
          <t>Pediatrics</t>
        </is>
      </c>
      <c r="F101" s="29" t="inlineStr">
        <is>
          <t>exact match to canonical name</t>
        </is>
      </c>
      <c r="G101" s="20" t="n"/>
      <c r="H101" s="20" t="n"/>
      <c r="I101" s="21" t="n"/>
    </row>
    <row r="102">
      <c r="A102" s="28" t="n">
        <v>101</v>
      </c>
      <c r="B102" s="29" t="inlineStr">
        <is>
          <t>Pathology</t>
        </is>
      </c>
      <c r="C102" s="30" t="n">
        <v>667</v>
      </c>
      <c r="D102" s="28" t="inlineStr">
        <is>
          <t>DA CHUAN</t>
        </is>
      </c>
      <c r="E102" s="29" t="inlineStr">
        <is>
          <t>Pathology</t>
        </is>
      </c>
      <c r="F102" s="29" t="inlineStr">
        <is>
          <t>exact match to canonical name</t>
        </is>
      </c>
      <c r="G102" s="20" t="n"/>
      <c r="H102" s="20" t="n"/>
      <c r="I102" s="21" t="n"/>
    </row>
    <row r="103">
      <c r="A103" s="28" t="n">
        <v>102</v>
      </c>
      <c r="B103" s="29" t="inlineStr">
        <is>
          <t>Surgery</t>
        </is>
      </c>
      <c r="C103" s="30" t="n">
        <v>505</v>
      </c>
      <c r="D103" s="28" t="inlineStr">
        <is>
          <t>DA CHUAN</t>
        </is>
      </c>
      <c r="E103" s="29" t="inlineStr">
        <is>
          <t>Surgery</t>
        </is>
      </c>
      <c r="F103" s="29" t="inlineStr">
        <is>
          <t>exact match to canonical name</t>
        </is>
      </c>
      <c r="G103" s="20" t="n"/>
      <c r="H103" s="20" t="n"/>
      <c r="I103" s="21" t="n"/>
    </row>
    <row r="104">
      <c r="A104" s="28" t="n">
        <v>103</v>
      </c>
      <c r="B104" s="29" t="inlineStr">
        <is>
          <t>Radiology</t>
        </is>
      </c>
      <c r="C104" s="30" t="n">
        <v>496</v>
      </c>
      <c r="D104" s="28" t="inlineStr">
        <is>
          <t>DA CHUAN</t>
        </is>
      </c>
      <c r="E104" s="29" t="inlineStr">
        <is>
          <t>Radiology</t>
        </is>
      </c>
      <c r="F104" s="29" t="inlineStr">
        <is>
          <t>exact match to canonical name</t>
        </is>
      </c>
      <c r="G104" s="20" t="n"/>
      <c r="H104" s="20" t="n"/>
      <c r="I104" s="21" t="n"/>
    </row>
    <row r="105">
      <c r="A105" s="28" t="n">
        <v>104</v>
      </c>
      <c r="B105" s="29" t="inlineStr">
        <is>
          <t>General Medicine</t>
        </is>
      </c>
      <c r="C105" s="30" t="n">
        <v>476</v>
      </c>
      <c r="D105" s="28" t="inlineStr">
        <is>
          <t>DA CHUAN</t>
        </is>
      </c>
      <c r="E105" s="29" t="inlineStr">
        <is>
          <t>General Medicine</t>
        </is>
      </c>
      <c r="F105" s="29" t="inlineStr">
        <is>
          <t>exact match to canonical name</t>
        </is>
      </c>
      <c r="G105" s="20" t="n"/>
      <c r="H105" s="20" t="n"/>
      <c r="I105" s="21" t="n"/>
    </row>
    <row r="106">
      <c r="A106" s="28" t="n">
        <v>105</v>
      </c>
      <c r="B106" s="29" t="inlineStr">
        <is>
          <t>Urology</t>
        </is>
      </c>
      <c r="C106" s="30" t="n">
        <v>467</v>
      </c>
      <c r="D106" s="28" t="inlineStr">
        <is>
          <t>DA CHUAN</t>
        </is>
      </c>
      <c r="E106" s="29" t="inlineStr">
        <is>
          <t>Urology</t>
        </is>
      </c>
      <c r="F106" s="29" t="inlineStr">
        <is>
          <t>exact match to canonical name</t>
        </is>
      </c>
      <c r="G106" s="20" t="n"/>
      <c r="H106" s="20" t="n"/>
      <c r="I106" s="21" t="n"/>
    </row>
    <row r="107">
      <c r="A107" s="28" t="n">
        <v>106</v>
      </c>
      <c r="B107" s="29" t="inlineStr">
        <is>
          <t>Nephrology</t>
        </is>
      </c>
      <c r="C107" s="30" t="n">
        <v>466</v>
      </c>
      <c r="D107" s="28" t="inlineStr">
        <is>
          <t>DA CHUAN</t>
        </is>
      </c>
      <c r="E107" s="29" t="inlineStr">
        <is>
          <t>Nephrology</t>
        </is>
      </c>
      <c r="F107" s="29" t="inlineStr">
        <is>
          <t>exact match to canonical name</t>
        </is>
      </c>
      <c r="G107" s="20" t="n"/>
      <c r="H107" s="20" t="n"/>
      <c r="I107" s="21" t="n"/>
    </row>
    <row r="108">
      <c r="A108" s="28" t="n">
        <v>107</v>
      </c>
      <c r="B108" s="29" t="inlineStr">
        <is>
          <t>Internal Medicine</t>
        </is>
      </c>
      <c r="C108" s="30" t="n">
        <v>425</v>
      </c>
      <c r="D108" s="28" t="inlineStr">
        <is>
          <t>DA CHUAN</t>
        </is>
      </c>
      <c r="E108" s="29" t="inlineStr">
        <is>
          <t>Internal Medicine</t>
        </is>
      </c>
      <c r="F108" s="29" t="inlineStr">
        <is>
          <t>exact match to canonical name</t>
        </is>
      </c>
      <c r="G108" s="20" t="n"/>
      <c r="H108" s="20" t="n"/>
      <c r="I108" s="21" t="n"/>
    </row>
    <row r="109">
      <c r="A109" s="28" t="n">
        <v>108</v>
      </c>
      <c r="B109" s="29" t="inlineStr">
        <is>
          <t>Neurology</t>
        </is>
      </c>
      <c r="C109" s="30" t="n">
        <v>404</v>
      </c>
      <c r="D109" s="28" t="inlineStr">
        <is>
          <t>DA CHUAN</t>
        </is>
      </c>
      <c r="E109" s="29" t="inlineStr">
        <is>
          <t>Neurology</t>
        </is>
      </c>
      <c r="F109" s="29" t="inlineStr">
        <is>
          <t>exact match to canonical name</t>
        </is>
      </c>
      <c r="G109" s="20" t="n"/>
      <c r="H109" s="20" t="n"/>
      <c r="I109" s="21" t="n"/>
    </row>
    <row r="110">
      <c r="A110" s="28" t="n">
        <v>109</v>
      </c>
      <c r="B110" s="29" t="inlineStr">
        <is>
          <t>Hematology</t>
        </is>
      </c>
      <c r="C110" s="30" t="n">
        <v>349</v>
      </c>
      <c r="D110" s="28" t="inlineStr">
        <is>
          <t>DA CHUAN</t>
        </is>
      </c>
      <c r="E110" s="29" t="inlineStr">
        <is>
          <t>Hematology</t>
        </is>
      </c>
      <c r="F110" s="29" t="inlineStr">
        <is>
          <t>exact match to canonical name</t>
        </is>
      </c>
      <c r="G110" s="20" t="n"/>
      <c r="H110" s="20" t="n"/>
      <c r="I110" s="21" t="n"/>
    </row>
    <row r="111">
      <c r="A111" s="28" t="n">
        <v>110</v>
      </c>
      <c r="B111" s="29" t="inlineStr">
        <is>
          <t>Preventive Healthcare</t>
        </is>
      </c>
      <c r="C111" s="30" t="n">
        <v>264</v>
      </c>
      <c r="D111" s="28" t="inlineStr">
        <is>
          <t>DA CHUAN</t>
        </is>
      </c>
      <c r="E111" s="29" t="inlineStr">
        <is>
          <t>Preventive Healthcare</t>
        </is>
      </c>
      <c r="F111" s="29" t="inlineStr">
        <is>
          <t>exact match to canonical name</t>
        </is>
      </c>
      <c r="G111" s="20" t="n"/>
      <c r="H111" s="20" t="n"/>
      <c r="I111" s="21" t="n"/>
    </row>
    <row r="112">
      <c r="A112" s="28" t="n">
        <v>111</v>
      </c>
      <c r="B112" s="29" t="inlineStr">
        <is>
          <t>Cardiology</t>
        </is>
      </c>
      <c r="C112" s="30" t="n">
        <v>262</v>
      </c>
      <c r="D112" s="28" t="inlineStr">
        <is>
          <t>DA CHUAN</t>
        </is>
      </c>
      <c r="E112" s="29" t="inlineStr">
        <is>
          <t>Cardiology</t>
        </is>
      </c>
      <c r="F112" s="29" t="inlineStr">
        <is>
          <t>exact match to canonical name</t>
        </is>
      </c>
      <c r="G112" s="20" t="n"/>
      <c r="H112" s="20" t="n"/>
      <c r="I112" s="21" t="n"/>
    </row>
    <row r="113">
      <c r="A113" s="28" t="n">
        <v>112</v>
      </c>
      <c r="B113" s="29" t="inlineStr">
        <is>
          <t>Public Health</t>
        </is>
      </c>
      <c r="C113" s="30" t="n">
        <v>255</v>
      </c>
      <c r="D113" s="28" t="inlineStr">
        <is>
          <t>DA CHUAN</t>
        </is>
      </c>
      <c r="E113" s="29" t="inlineStr">
        <is>
          <t>Public Health</t>
        </is>
      </c>
      <c r="F113" s="29" t="inlineStr">
        <is>
          <t>exact match to canonical name</t>
        </is>
      </c>
      <c r="G113" s="20" t="n"/>
      <c r="H113" s="20" t="n"/>
      <c r="I113" s="21" t="n"/>
    </row>
    <row r="114">
      <c r="A114" s="28" t="n">
        <v>113</v>
      </c>
      <c r="B114" s="29" t="inlineStr">
        <is>
          <t>Otolaryngology</t>
        </is>
      </c>
      <c r="C114" s="30" t="n">
        <v>247</v>
      </c>
      <c r="D114" s="28" t="inlineStr">
        <is>
          <t>DA CHUAN</t>
        </is>
      </c>
      <c r="E114" s="29" t="inlineStr">
        <is>
          <t>Otolaryngology</t>
        </is>
      </c>
      <c r="F114" s="29" t="inlineStr">
        <is>
          <t>exact match to canonical name</t>
        </is>
      </c>
      <c r="G114" s="20" t="n"/>
      <c r="H114" s="20" t="n"/>
      <c r="I114" s="21" t="n"/>
    </row>
    <row r="115">
      <c r="A115" s="28" t="n">
        <v>114</v>
      </c>
      <c r="B115" s="29" t="inlineStr">
        <is>
          <t>Eastern Medicine</t>
        </is>
      </c>
      <c r="C115" s="30" t="n">
        <v>237</v>
      </c>
      <c r="D115" s="28" t="inlineStr">
        <is>
          <t>DA CHUAN</t>
        </is>
      </c>
      <c r="E115" s="29" t="inlineStr">
        <is>
          <t>Eastern Medicine</t>
        </is>
      </c>
      <c r="F115" s="29" t="inlineStr">
        <is>
          <t>exact match to canonical name</t>
        </is>
      </c>
      <c r="G115" s="20" t="n"/>
      <c r="H115" s="20" t="n"/>
      <c r="I115" s="21" t="n"/>
    </row>
    <row r="116">
      <c r="A116" s="28" t="n">
        <v>115</v>
      </c>
      <c r="B116" s="29" t="inlineStr">
        <is>
          <t>Emergency Medicine</t>
        </is>
      </c>
      <c r="C116" s="30" t="n">
        <v>209</v>
      </c>
      <c r="D116" s="28" t="inlineStr">
        <is>
          <t>DA CHUAN</t>
        </is>
      </c>
      <c r="E116" s="29" t="inlineStr">
        <is>
          <t>Emergency Medicine</t>
        </is>
      </c>
      <c r="F116" s="29" t="inlineStr">
        <is>
          <t>exact match to canonical name</t>
        </is>
      </c>
      <c r="G116" s="20" t="n"/>
      <c r="H116" s="20" t="n"/>
      <c r="I116" s="21" t="n"/>
    </row>
    <row r="117">
      <c r="A117" s="28" t="n">
        <v>116</v>
      </c>
      <c r="B117" s="29" t="inlineStr">
        <is>
          <t>Orthopedics</t>
        </is>
      </c>
      <c r="C117" s="30" t="n">
        <v>205</v>
      </c>
      <c r="D117" s="28" t="inlineStr">
        <is>
          <t>DA CHUAN</t>
        </is>
      </c>
      <c r="E117" s="29" t="inlineStr">
        <is>
          <t>Orthopedics</t>
        </is>
      </c>
      <c r="F117" s="29" t="inlineStr">
        <is>
          <t>exact match to canonical name</t>
        </is>
      </c>
      <c r="G117" s="20" t="n"/>
      <c r="H117" s="20" t="n"/>
      <c r="I117" s="21" t="n"/>
    </row>
    <row r="118">
      <c r="A118" s="28" t="n">
        <v>117</v>
      </c>
      <c r="B118" s="29" t="inlineStr">
        <is>
          <t>Allergy and Immunology</t>
        </is>
      </c>
      <c r="C118" s="30" t="n">
        <v>202</v>
      </c>
      <c r="D118" s="28" t="inlineStr">
        <is>
          <t>DA CHUAN</t>
        </is>
      </c>
      <c r="E118" s="29" t="inlineStr">
        <is>
          <t>Allergy and Immunology</t>
        </is>
      </c>
      <c r="F118" s="29" t="inlineStr">
        <is>
          <t>exact match to canonical name</t>
        </is>
      </c>
      <c r="G118" s="20" t="n"/>
      <c r="H118" s="20" t="n"/>
      <c r="I118" s="21" t="n"/>
    </row>
    <row r="119">
      <c r="A119" s="28" t="n">
        <v>118</v>
      </c>
      <c r="B119" s="29" t="inlineStr">
        <is>
          <t>Psychiatry</t>
        </is>
      </c>
      <c r="C119" s="30" t="n">
        <v>193</v>
      </c>
      <c r="D119" s="28" t="inlineStr">
        <is>
          <t>DA CHUAN</t>
        </is>
      </c>
      <c r="E119" s="29" t="inlineStr">
        <is>
          <t>Psychiatry</t>
        </is>
      </c>
      <c r="F119" s="29" t="inlineStr">
        <is>
          <t>exact match to canonical name</t>
        </is>
      </c>
      <c r="G119" s="20" t="n"/>
      <c r="H119" s="20" t="n"/>
      <c r="I119" s="21" t="n"/>
    </row>
    <row r="120">
      <c r="A120" s="28" t="n">
        <v>119</v>
      </c>
      <c r="B120" s="29" t="inlineStr">
        <is>
          <t>Dermatology</t>
        </is>
      </c>
      <c r="C120" s="30" t="n">
        <v>190</v>
      </c>
      <c r="D120" s="28" t="inlineStr">
        <is>
          <t>DA CHUAN</t>
        </is>
      </c>
      <c r="E120" s="29" t="inlineStr">
        <is>
          <t>Dermatology</t>
        </is>
      </c>
      <c r="F120" s="29" t="inlineStr">
        <is>
          <t>exact match to canonical name</t>
        </is>
      </c>
      <c r="G120" s="20" t="n"/>
      <c r="H120" s="20" t="n"/>
      <c r="I120" s="21" t="n"/>
    </row>
    <row r="121">
      <c r="A121" s="28" t="n">
        <v>120</v>
      </c>
      <c r="B121" s="29" t="inlineStr">
        <is>
          <t>Geriatrics</t>
        </is>
      </c>
      <c r="C121" s="30" t="n">
        <v>142</v>
      </c>
      <c r="D121" s="28" t="inlineStr">
        <is>
          <t>DA CHUAN</t>
        </is>
      </c>
      <c r="E121" s="29" t="inlineStr">
        <is>
          <t>Geriatrics</t>
        </is>
      </c>
      <c r="F121" s="29" t="inlineStr">
        <is>
          <t>exact match to canonical name</t>
        </is>
      </c>
      <c r="G121" s="20" t="n"/>
      <c r="H121" s="20" t="n"/>
      <c r="I121" s="21" t="n"/>
    </row>
    <row r="122">
      <c r="A122" s="28" t="n">
        <v>121</v>
      </c>
      <c r="B122" s="29" t="inlineStr">
        <is>
          <t>Physical Medicine and Rehabilitation</t>
        </is>
      </c>
      <c r="C122" s="30" t="n">
        <v>134</v>
      </c>
      <c r="D122" s="28" t="inlineStr">
        <is>
          <t>DA CHUAN</t>
        </is>
      </c>
      <c r="E122" s="29" t="inlineStr">
        <is>
          <t>Physical Medicine and Rehabilitation</t>
        </is>
      </c>
      <c r="F122" s="29" t="inlineStr">
        <is>
          <t>exact match to canonical name</t>
        </is>
      </c>
      <c r="G122" s="20" t="n"/>
      <c r="H122" s="20" t="n"/>
      <c r="I122" s="21" t="n"/>
    </row>
    <row r="123">
      <c r="A123" s="28" t="n">
        <v>122</v>
      </c>
      <c r="B123" s="29" t="inlineStr">
        <is>
          <t>Ophthalmology</t>
        </is>
      </c>
      <c r="C123" s="30" t="n">
        <v>132</v>
      </c>
      <c r="D123" s="28" t="inlineStr">
        <is>
          <t>DA CHUAN</t>
        </is>
      </c>
      <c r="E123" s="29" t="inlineStr">
        <is>
          <t>Ophthalmology</t>
        </is>
      </c>
      <c r="F123" s="29" t="inlineStr">
        <is>
          <t>exact match to canonical name</t>
        </is>
      </c>
      <c r="G123" s="20" t="n"/>
      <c r="H123" s="20" t="n"/>
      <c r="I123" s="21" t="n"/>
    </row>
    <row r="124">
      <c r="A124" s="28" t="n">
        <v>123</v>
      </c>
      <c r="B124" s="29" t="inlineStr">
        <is>
          <t>Rheumatology</t>
        </is>
      </c>
      <c r="C124" s="30" t="n">
        <v>131</v>
      </c>
      <c r="D124" s="28" t="inlineStr">
        <is>
          <t>DA CHUAN</t>
        </is>
      </c>
      <c r="E124" s="29" t="inlineStr">
        <is>
          <t>Rheumatology</t>
        </is>
      </c>
      <c r="F124" s="29" t="inlineStr">
        <is>
          <t>exact match to canonical name</t>
        </is>
      </c>
      <c r="G124" s="20" t="n"/>
      <c r="H124" s="20" t="n"/>
      <c r="I124" s="21" t="n"/>
    </row>
    <row r="125">
      <c r="A125" s="28" t="n">
        <v>124</v>
      </c>
      <c r="B125" s="29" t="inlineStr">
        <is>
          <t>Anesthesiology</t>
        </is>
      </c>
      <c r="C125" s="30" t="n">
        <v>115</v>
      </c>
      <c r="D125" s="28" t="inlineStr">
        <is>
          <t>DA CHUAN</t>
        </is>
      </c>
      <c r="E125" s="29" t="inlineStr">
        <is>
          <t>Anesthesiology</t>
        </is>
      </c>
      <c r="F125" s="29" t="inlineStr">
        <is>
          <t>exact match to canonical name</t>
        </is>
      </c>
      <c r="G125" s="20" t="n"/>
      <c r="H125" s="20" t="n"/>
      <c r="I125" s="21" t="n"/>
    </row>
    <row r="126">
      <c r="A126" s="28" t="n">
        <v>125</v>
      </c>
      <c r="B126" s="29" t="inlineStr">
        <is>
          <t>Palliative Medicine</t>
        </is>
      </c>
      <c r="C126" s="30" t="n">
        <v>87</v>
      </c>
      <c r="D126" s="28" t="inlineStr">
        <is>
          <t>DA CHUAN</t>
        </is>
      </c>
      <c r="E126" s="29" t="inlineStr">
        <is>
          <t>Palliative Medicine</t>
        </is>
      </c>
      <c r="F126" s="29" t="inlineStr">
        <is>
          <t>exact match to canonical name</t>
        </is>
      </c>
      <c r="G126" s="20" t="n"/>
      <c r="H126" s="20" t="n"/>
      <c r="I126" s="21" t="n"/>
    </row>
    <row r="127">
      <c r="A127" s="28" t="n">
        <v>126</v>
      </c>
      <c r="B127" s="29" t="inlineStr">
        <is>
          <t>Sports Medicine</t>
        </is>
      </c>
      <c r="C127" s="30" t="n">
        <v>85</v>
      </c>
      <c r="D127" s="28" t="inlineStr">
        <is>
          <t>DA CHUAN</t>
        </is>
      </c>
      <c r="E127" s="29" t="inlineStr">
        <is>
          <t>Sports Medicine</t>
        </is>
      </c>
      <c r="F127" s="29" t="inlineStr">
        <is>
          <t>exact match to canonical name</t>
        </is>
      </c>
      <c r="G127" s="20" t="n"/>
      <c r="H127" s="20" t="n"/>
      <c r="I127" s="21" t="n"/>
    </row>
    <row r="128">
      <c r="A128" s="28" t="n">
        <v>127</v>
      </c>
      <c r="B128" s="29" t="inlineStr">
        <is>
          <t>Nuclear Medicine</t>
        </is>
      </c>
      <c r="C128" s="30" t="n">
        <v>83</v>
      </c>
      <c r="D128" s="28" t="inlineStr">
        <is>
          <t>DA CHUAN</t>
        </is>
      </c>
      <c r="E128" s="29" t="inlineStr">
        <is>
          <t>Nuclear Medicine</t>
        </is>
      </c>
      <c r="F128" s="29" t="inlineStr">
        <is>
          <t>exact match to canonical name</t>
        </is>
      </c>
      <c r="G128" s="20" t="n"/>
      <c r="H128" s="20" t="n"/>
      <c r="I128" s="21" t="n"/>
    </row>
  </sheetData>
  <autoFilter ref="A1:I128"/>
  <conditionalFormatting sqref="G2:G128">
    <cfRule type="expression" priority="1" dxfId="0">
      <formula>$G2=""</formula>
    </cfRule>
  </conditionalFormatting>
  <dataValidations count="2">
    <dataValidation sqref="G2:G128" showDropDown="0" showInputMessage="0" showErrorMessage="0" allowBlank="1" errorTitle="Giá trị không hợp lệ" error="Chọn một giá trị trong danh sách." type="list">
      <formula1>"Đồng ý,Sửa - xem cột H,Loại bỏ (không dùng topic này),Cần thảo luận"</formula1>
    </dataValidation>
    <dataValidation sqref="H2:H128" showDropDown="0" showInputMessage="0" showErrorMessage="0" allowBlank="1" errorTitle="Giá trị không hợp lệ" error="Chọn một chuyên khoa trong danh mục 34 (sheet DanhMuc)." type="list">
      <formula1>DanhMuc!$A$5:$A$40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40"/>
  <sheetViews>
    <sheetView showGridLines="0" workbookViewId="0">
      <selection activeCell="A1" sqref="A1"/>
    </sheetView>
  </sheetViews>
  <sheetFormatPr baseColWidth="8" defaultRowHeight="15"/>
  <cols>
    <col width="46" customWidth="1" min="1" max="1"/>
  </cols>
  <sheetData>
    <row r="1">
      <c r="A1" s="31" t="inlineStr">
        <is>
          <t>34 chuyên khoa chuẩn (VM14K paper, Table 5 / Appendix A)</t>
        </is>
      </c>
    </row>
    <row r="2">
      <c r="A2" s="32" t="inlineStr">
        <is>
          <t>Danh sách này là nguồn cho dropdown ở cột H sheet Review. Không sửa.</t>
        </is>
      </c>
    </row>
    <row r="4">
      <c r="A4" s="6" t="inlineStr">
        <is>
          <t>Chuyên khoa</t>
        </is>
      </c>
    </row>
    <row r="5">
      <c r="A5" s="33" t="inlineStr">
        <is>
          <t>Allergy and Immunology</t>
        </is>
      </c>
    </row>
    <row r="6">
      <c r="A6" s="33" t="inlineStr">
        <is>
          <t>Anesthesiology</t>
        </is>
      </c>
    </row>
    <row r="7">
      <c r="A7" s="33" t="inlineStr">
        <is>
          <t>Cardiology</t>
        </is>
      </c>
    </row>
    <row r="8">
      <c r="A8" s="33" t="inlineStr">
        <is>
          <t>Dermatology</t>
        </is>
      </c>
    </row>
    <row r="9">
      <c r="A9" s="33" t="inlineStr">
        <is>
          <t>Endocrinology</t>
        </is>
      </c>
    </row>
    <row r="10">
      <c r="A10" s="33" t="inlineStr">
        <is>
          <t>Gastroenterology</t>
        </is>
      </c>
    </row>
    <row r="11">
      <c r="A11" s="33" t="inlineStr">
        <is>
          <t>Geriatrics</t>
        </is>
      </c>
    </row>
    <row r="12">
      <c r="A12" s="33" t="inlineStr">
        <is>
          <t>Hematology</t>
        </is>
      </c>
    </row>
    <row r="13">
      <c r="A13" s="33" t="inlineStr">
        <is>
          <t>Infectious Diseases</t>
        </is>
      </c>
    </row>
    <row r="14">
      <c r="A14" s="33" t="inlineStr">
        <is>
          <t>Internal Medicine</t>
        </is>
      </c>
    </row>
    <row r="15">
      <c r="A15" s="33" t="inlineStr">
        <is>
          <t>Nephrology</t>
        </is>
      </c>
    </row>
    <row r="16">
      <c r="A16" s="33" t="inlineStr">
        <is>
          <t>Neurology</t>
        </is>
      </c>
    </row>
    <row r="17">
      <c r="A17" s="33" t="inlineStr">
        <is>
          <t>Nuclear Medicine</t>
        </is>
      </c>
    </row>
    <row r="18">
      <c r="A18" s="33" t="inlineStr">
        <is>
          <t>Obstetrics and Gynecology</t>
        </is>
      </c>
    </row>
    <row r="19">
      <c r="A19" s="33" t="inlineStr">
        <is>
          <t>Oncology</t>
        </is>
      </c>
    </row>
    <row r="20">
      <c r="A20" s="33" t="inlineStr">
        <is>
          <t>Ophthalmology</t>
        </is>
      </c>
    </row>
    <row r="21">
      <c r="A21" s="33" t="inlineStr">
        <is>
          <t>Orthopedics</t>
        </is>
      </c>
    </row>
    <row r="22">
      <c r="A22" s="33" t="inlineStr">
        <is>
          <t>Otolaryngology</t>
        </is>
      </c>
    </row>
    <row r="23">
      <c r="A23" s="33" t="inlineStr">
        <is>
          <t>Palliative Medicine</t>
        </is>
      </c>
    </row>
    <row r="24">
      <c r="A24" s="33" t="inlineStr">
        <is>
          <t>Pathology</t>
        </is>
      </c>
    </row>
    <row r="25">
      <c r="A25" s="33" t="inlineStr">
        <is>
          <t>Pediatrics</t>
        </is>
      </c>
    </row>
    <row r="26">
      <c r="A26" s="33" t="inlineStr">
        <is>
          <t>Physical Medicine and Rehabilitation</t>
        </is>
      </c>
    </row>
    <row r="27">
      <c r="A27" s="33" t="inlineStr">
        <is>
          <t>Psychiatry</t>
        </is>
      </c>
    </row>
    <row r="28">
      <c r="A28" s="33" t="inlineStr">
        <is>
          <t>Pulmonology</t>
        </is>
      </c>
    </row>
    <row r="29">
      <c r="A29" s="33" t="inlineStr">
        <is>
          <t>Radiology</t>
        </is>
      </c>
    </row>
    <row r="30">
      <c r="A30" s="33" t="inlineStr">
        <is>
          <t>Rheumatology</t>
        </is>
      </c>
    </row>
    <row r="31">
      <c r="A31" s="33" t="inlineStr">
        <is>
          <t>Sports Medicine</t>
        </is>
      </c>
    </row>
    <row r="32">
      <c r="A32" s="33" t="inlineStr">
        <is>
          <t>Surgery</t>
        </is>
      </c>
    </row>
    <row r="33">
      <c r="A33" s="33" t="inlineStr">
        <is>
          <t>Urology</t>
        </is>
      </c>
    </row>
    <row r="34">
      <c r="A34" s="33" t="inlineStr">
        <is>
          <t>General Medicine</t>
        </is>
      </c>
    </row>
    <row r="35">
      <c r="A35" s="33" t="inlineStr">
        <is>
          <t>Eastern Medicine</t>
        </is>
      </c>
    </row>
    <row r="36">
      <c r="A36" s="33" t="inlineStr">
        <is>
          <t>Public Health</t>
        </is>
      </c>
    </row>
    <row r="37">
      <c r="A37" s="33" t="inlineStr">
        <is>
          <t>Preventive Healthcare</t>
        </is>
      </c>
    </row>
    <row r="38">
      <c r="A38" s="33" t="inlineStr">
        <is>
          <t>Emergency Medicine</t>
        </is>
      </c>
    </row>
    <row r="39">
      <c r="A39" s="34" t="inlineStr">
        <is>
          <t>KHONG THUOC 34 - de nghi them chuyen khoa moi</t>
        </is>
      </c>
    </row>
    <row r="40">
      <c r="A40" s="34" t="inlineStr">
        <is>
          <t>LOAI BO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2026-08-07T03:33:14Z</dcterms:created>
  <dcterms:modified xsi:type="dcterms:W3CDTF">2026-08-07T03:33:14Z</dcterms:modified>
</cp:coreProperties>
</file>